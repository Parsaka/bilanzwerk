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wort" sheetId="1" state="visible" r:id="rId1"/>
    <sheet name="H4 Sektoren" sheetId="2" state="visible" r:id="rId2"/>
    <sheet name="H4 Top 20" sheetId="3" state="visible" r:id="rId3"/>
    <sheet name="Modelle" sheetId="4" state="visible" r:id="rId4"/>
    <sheet name="H1 Vorlauf" sheetId="5" state="visible" r:id="rId5"/>
    <sheet name="Fallstudien" sheetId="6" state="visible" r:id="rId6"/>
    <sheet name="Datenqualitä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#,##0.0"/>
    <numFmt numFmtId="166" formatCode="0.0"/>
    <numFmt numFmtId="167" formatCode="0.0000"/>
    <numFmt numFmtId="168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2514E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A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Potenzial bis zum Sektormedian (Mrd. EUR)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'H4 Sektoren'!C4</f>
            </strRef>
          </tx>
          <spPr>
            <a:ln>
              <a:prstDash val="solid"/>
            </a:ln>
          </spPr>
          <cat>
            <numRef>
              <f>'H4 Sektoren'!$A$5:$A$14</f>
            </numRef>
          </cat>
          <val>
            <numRef>
              <f>'H4 Sektoren'!$C$5:$C$14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PR-AUC je Testjahr</a:t>
            </a:r>
          </a:p>
        </rich>
      </tx>
    </title>
    <plotArea>
      <lineChart>
        <grouping val="standard"/>
        <ser>
          <idx val="0"/>
          <order val="0"/>
          <tx>
            <strRef>
              <f>'Modelle'!B13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'Modelle'!$A$14:$A$25</f>
            </numRef>
          </cat>
          <val>
            <numRef>
              <f>'Modelle'!$B$14:$B$25</f>
            </numRef>
          </val>
        </ser>
        <ser>
          <idx val="1"/>
          <order val="1"/>
          <tx>
            <strRef>
              <f>'Modelle'!C13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'Modelle'!$A$14:$A$25</f>
            </numRef>
          </cat>
          <val>
            <numRef>
              <f>'Modelle'!$C$14:$C$25</f>
            </numRef>
          </val>
        </ser>
        <ser>
          <idx val="2"/>
          <order val="2"/>
          <tx>
            <strRef>
              <f>'Modelle'!D13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'Modelle'!$A$14:$A$25</f>
            </numRef>
          </cat>
          <val>
            <numRef>
              <f>'Modelle'!$D$14:$D$25</f>
            </numRef>
          </val>
        </ser>
        <ser>
          <idx val="3"/>
          <order val="3"/>
          <tx>
            <strRef>
              <f>'Modelle'!E13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'Modelle'!$A$14:$A$25</f>
            </numRef>
          </cat>
          <val>
            <numRef>
              <f>'Modelle'!$E$14:$E$25</f>
            </numRef>
          </val>
        </ser>
        <ser>
          <idx val="4"/>
          <order val="4"/>
          <tx>
            <strRef>
              <f>'Modelle'!F13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'Modelle'!$A$14:$A$25</f>
            </numRef>
          </cat>
          <val>
            <numRef>
              <f>'Modelle'!$F$14:$F$25</f>
            </numRef>
          </val>
        </ser>
        <ser>
          <idx val="5"/>
          <order val="5"/>
          <tx>
            <strRef>
              <f>'Modelle'!G13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'Modelle'!$A$14:$A$25</f>
            </numRef>
          </cat>
          <val>
            <numRef>
              <f>'Modelle'!$G$14:$G$25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ntwort" displayName="Antwort" ref="A4:G9" headerRowCount="1">
  <autoFilter ref="A4:G9"/>
  <tableColumns count="7">
    <tableColumn id="1" name="Nr"/>
    <tableColumn id="2" name="Hypothese"/>
    <tableColumn id="3" name="Ergebnis"/>
    <tableColumn id="4" name="Schätzer"/>
    <tableColumn id="5" name="95%-KI unten"/>
    <tableColumn id="6" name="95%-KI oben"/>
    <tableColumn id="7" name="Text"/>
  </tableColumns>
  <tableStyleInfo name="TableStyleMedium2" showRowStripes="1"/>
</table>
</file>

<file path=xl/tables/table2.xml><?xml version="1.0" encoding="utf-8"?>
<table xmlns="http://schemas.openxmlformats.org/spreadsheetml/2006/main" id="2" name="Sektoren" displayName="Sektoren" ref="A4:E14" headerRowCount="1">
  <autoFilter ref="A4:E14"/>
  <tableColumns count="5">
    <tableColumn id="1" name="Sektor"/>
    <tableColumn id="2" name="Sector"/>
    <tableColumn id="3" name="Median-Ziel Mrd. EUR"/>
    <tableColumn id="4" name="Bestes Quartil Mrd. EUR"/>
    <tableColumn id="5" name="Unternehmen"/>
  </tableColumns>
  <tableStyleInfo name="TableStyleMedium2" showRowStripes="1"/>
</table>
</file>

<file path=xl/tables/table3.xml><?xml version="1.0" encoding="utf-8"?>
<table xmlns="http://schemas.openxmlformats.org/spreadsheetml/2006/main" id="3" name="Top20" displayName="Top20" ref="A4:H24" headerRowCount="1">
  <autoFilter ref="A4:H24"/>
  <tableColumns count="8">
    <tableColumn id="1" name="Unternehmen"/>
    <tableColumn id="2" name="Sektor"/>
    <tableColumn id="3" name="GJ"/>
    <tableColumn id="4" name="DSO"/>
    <tableColumn id="5" name="DIO"/>
    <tableColumn id="6" name="DPO"/>
    <tableColumn id="7" name="Median-Ziel Mrd. EUR"/>
    <tableColumn id="8" name="Bestes Quartil Mrd. EUR"/>
  </tableColumns>
  <tableStyleInfo name="TableStyleMedium2" showRowStripes="1"/>
</table>
</file>

<file path=xl/tables/table4.xml><?xml version="1.0" encoding="utf-8"?>
<table xmlns="http://schemas.openxmlformats.org/spreadsheetml/2006/main" id="4" name="Pooled" displayName="Pooled" ref="A4:F10" headerRowCount="1">
  <autoFilter ref="A4:F10"/>
  <tableColumns count="6">
    <tableColumn id="1" name="Modell"/>
    <tableColumn id="2" name="Beobachtungen"/>
    <tableColumn id="3" name="Insolvenzen"/>
    <tableColumn id="4" name="PR-AUC"/>
    <tableColumn id="5" name="Recall Top 5 %"/>
    <tableColumn id="6" name="Brier"/>
  </tableColumns>
  <tableStyleInfo name="TableStyleMedium2" showRowStripes="1"/>
</table>
</file>

<file path=xl/tables/table5.xml><?xml version="1.0" encoding="utf-8"?>
<table xmlns="http://schemas.openxmlformats.org/spreadsheetml/2006/main" id="5" name="ByYear" displayName="ByYear" ref="A13:G25" headerRowCount="1">
  <autoFilter ref="A13:G25"/>
  <tableColumns count="7">
    <tableColumn id="1" name="Testjahr"/>
    <tableColumn id="2" name="M0 Z''-Regel"/>
    <tableColumn id="3" name="M1 Z'' (Logit)"/>
    <tableColumn id="4" name="M2 Z'' + Working Capital"/>
    <tableColumn id="5" name="M2r sektorrelativ"/>
    <tableColumn id="6" name="S1 Hazard"/>
    <tableColumn id="7" name="M3 LightGBM, alle KPIs"/>
  </tableColumns>
  <tableStyleInfo name="TableStyleMedium2" showRowStripes="1"/>
</table>
</file>

<file path=xl/tables/table6.xml><?xml version="1.0" encoding="utf-8"?>
<table xmlns="http://schemas.openxmlformats.org/spreadsheetml/2006/main" id="6" name="Vorlauf" displayName="Vorlauf" ref="A4:C10" headerRowCount="1">
  <autoFilter ref="A4:C10"/>
  <tableColumns count="3">
    <tableColumn id="1" name="Messgröße"/>
    <tableColumn id="2" name="CCC"/>
    <tableColumn id="3" name="Z''"/>
  </tableColumns>
  <tableStyleInfo name="TableStyleMedium2" showRowStripes="1"/>
</table>
</file>

<file path=xl/tables/table7.xml><?xml version="1.0" encoding="utf-8"?>
<table xmlns="http://schemas.openxmlformats.org/spreadsheetml/2006/main" id="7" name="Cases" displayName="Cases" ref="A4:H7" headerRowCount="1">
  <autoFilter ref="A4:H7"/>
  <tableColumns count="8">
    <tableColumn id="1" name="Rang"/>
    <tableColumn id="2" name="CIK"/>
    <tableColumn id="3" name="Unternehmen"/>
    <tableColumn id="4" name="Sektor"/>
    <tableColumn id="5" name="Ereignis"/>
    <tableColumn id="6" name="Umsatz TTM Mrd. EUR"/>
    <tableColumn id="7" name="Vorlauf CCC"/>
    <tableColumn id="8" name="Vorlauf Z''"/>
  </tableColumns>
  <tableStyleInfo name="TableStyleMedium2" showRowStripes="1"/>
</table>
</file>

<file path=xl/tables/table8.xml><?xml version="1.0" encoding="utf-8"?>
<table xmlns="http://schemas.openxmlformats.org/spreadsheetml/2006/main" id="8" name="LabelAudit" displayName="LabelAudit" ref="A11:C15" headerRowCount="1">
  <autoFilter ref="A11:C15"/>
  <tableColumns count="3">
    <tableColumn id="1" name="Befund"/>
    <tableColumn id="2" name="alle Filings"/>
    <tableColumn id="3" name="erstes Ereignis"/>
  </tableColumns>
  <tableStyleInfo name="TableStyleMedium2" showRowStripes="1"/>
</table>
</file>

<file path=xl/tables/table9.xml><?xml version="1.0" encoding="utf-8"?>
<table xmlns="http://schemas.openxmlformats.org/spreadsheetml/2006/main" id="9" name="DQ" displayName="DQ" ref="A4:H16" headerRowCount="1">
  <autoFilter ref="A4:H16"/>
  <tableColumns count="8">
    <tableColumn id="1" name="rule_code"/>
    <tableColumn id="2" name="dq_dimension"/>
    <tableColumn id="3" name="table_name"/>
    <tableColumn id="4" name="rows_checked"/>
    <tableColumn id="5" name="rows_failed"/>
    <tableColumn id="6" name="pass_rate"/>
    <tableColumn id="7" name="target_pass_rate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7" customWidth="1" min="3" max="3"/>
    <col width="23" customWidth="1" min="4" max="4"/>
    <col width="24" customWidth="1" min="5" max="5"/>
    <col width="24" customWidth="1" min="6" max="6"/>
    <col width="110" customWidth="1" min="7" max="7"/>
  </cols>
  <sheetData>
    <row r="1">
      <c r="A1" s="1" t="inlineStr">
        <is>
          <t>Bilanzwerk: Antwort auf H1–H4</t>
        </is>
      </c>
    </row>
    <row r="2">
      <c r="A2" s="2" t="inlineStr">
        <is>
          <t>Quelle: Lauf auf echten Daten 41282080293 (https://github.com/Parsaka/bilanzwerk/actions/runs/41282080293), Branch real-data-results, Ordner results/.</t>
        </is>
      </c>
    </row>
    <row r="4">
      <c r="A4" s="3" t="inlineStr">
        <is>
          <t>Nr</t>
        </is>
      </c>
      <c r="B4" s="3" t="inlineStr">
        <is>
          <t>Hypothese</t>
        </is>
      </c>
      <c r="C4" s="3" t="inlineStr">
        <is>
          <t>Ergebnis</t>
        </is>
      </c>
      <c r="D4" s="3" t="inlineStr">
        <is>
          <t>Schätzer</t>
        </is>
      </c>
      <c r="E4" s="3" t="inlineStr">
        <is>
          <t>95%-KI unten</t>
        </is>
      </c>
      <c r="F4" s="3" t="inlineStr">
        <is>
          <t>95%-KI oben</t>
        </is>
      </c>
      <c r="G4" s="3" t="inlineStr">
        <is>
          <t>Text</t>
        </is>
      </c>
    </row>
    <row r="5">
      <c r="A5" t="inlineStr">
        <is>
          <t>H1</t>
        </is>
      </c>
      <c r="B5" t="inlineStr">
        <is>
          <t>H1 lead time</t>
        </is>
      </c>
      <c r="C5" t="inlineStr">
        <is>
          <t>nicht bestätigt</t>
        </is>
      </c>
      <c r="D5" s="4" t="n">
        <v>-12.68172484599589</v>
      </c>
      <c r="E5" s="4" t="n">
        <v>-14.91663244353183</v>
      </c>
      <c r="F5" s="4" t="n">
        <v>-11.1047227926078</v>
      </c>
      <c r="G5" s="5" t="inlineStr">
        <is>
          <t>H1 nicht bestätigt: Das CCC-Signal wurde im Median 0.0 Monate vor der Insolvenz rot, das Z''-Signal 12.7 Monate; Differenz -12.7 Monate (95%-KI -14.9 bis -11.1).</t>
        </is>
      </c>
    </row>
    <row r="6">
      <c r="A6" t="inlineStr">
        <is>
          <t>H2</t>
        </is>
      </c>
      <c r="B6" t="inlineStr">
        <is>
          <t>H2 accuracy</t>
        </is>
      </c>
      <c r="C6" t="inlineStr">
        <is>
          <t>nicht bestätigt</t>
        </is>
      </c>
      <c r="D6" s="4" t="n">
        <v>-0.002071342720000459</v>
      </c>
      <c r="E6" s="4" t="n">
        <v>-0.003676369064594196</v>
      </c>
      <c r="F6" s="4" t="n">
        <v>-0.0005025963283957901</v>
      </c>
      <c r="G6" s="5" t="inlineStr">
        <is>
          <t>H2 nicht bestätigt: PR-AUC M2 minus M1 = -0.002 (95%-KI -0.004 bis -0.001).</t>
        </is>
      </c>
    </row>
    <row r="7">
      <c r="A7" t="inlineStr">
        <is>
          <t>H3</t>
        </is>
      </c>
      <c r="B7" t="inlineStr">
        <is>
          <t>H3 sector view</t>
        </is>
      </c>
      <c r="C7" t="inlineStr">
        <is>
          <t>bestätigt</t>
        </is>
      </c>
      <c r="D7" s="4" t="n">
        <v>0.004140482617392569</v>
      </c>
      <c r="E7" s="4" t="n">
        <v>0.002171902682526376</v>
      </c>
      <c r="F7" s="4" t="n">
        <v>0.005998910105549296</v>
      </c>
      <c r="G7" s="5" t="inlineStr">
        <is>
          <t>H3 bestätigt: PR-AUC sektorrelativ minus absolut = 0.004 (95%-KI 0.002 bis 0.006).</t>
        </is>
      </c>
    </row>
    <row r="8">
      <c r="A8" t="inlineStr">
        <is>
          <t>H4</t>
        </is>
      </c>
      <c r="B8" t="inlineStr">
        <is>
          <t>H4 euro value</t>
        </is>
      </c>
      <c r="C8" t="inlineStr">
        <is>
          <t>bestätigt</t>
        </is>
      </c>
      <c r="D8" s="4" t="n">
        <v>1308.550175447292</v>
      </c>
      <c r="E8" s="4" t="n"/>
      <c r="F8" s="4" t="n"/>
      <c r="G8" s="5" t="inlineStr">
        <is>
          <t>H4 bestätigt: Working-Capital-Potenzial gesamt 1308.6 Mrd. EUR; größter Hebel Technologie und Telekommunikation mit 337.6 Mrd. EUR.</t>
        </is>
      </c>
    </row>
    <row r="9">
      <c r="A9" t="inlineStr">
        <is>
          <t>Champion</t>
        </is>
      </c>
      <c r="B9" t="inlineStr">
        <is>
          <t>PR-AUC M3 minus M2</t>
        </is>
      </c>
      <c r="C9" t="inlineStr">
        <is>
          <t>M3 bleibt</t>
        </is>
      </c>
      <c r="D9" s="4" t="n">
        <v>0.03651423155775248</v>
      </c>
      <c r="E9" s="4" t="n">
        <v>0.02713065148387064</v>
      </c>
      <c r="F9" s="4" t="n">
        <v>0.04727792484640634</v>
      </c>
      <c r="G9" s="5" t="inlineStr">
        <is>
          <t>ADR-007</t>
        </is>
      </c>
    </row>
    <row r="12">
      <c r="A12" s="2" t="inlineStr">
        <is>
          <t>Einheiten: H1 in Monaten (CCC minus Z''), H2/H3 und Champion in PR-AUC-Punkten, H4 in Mrd. EUR.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  <col width="22" customWidth="1" min="3" max="3"/>
    <col width="25" customWidth="1" min="4" max="4"/>
    <col width="13" customWidth="1" min="5" max="5"/>
  </cols>
  <sheetData>
    <row r="1">
      <c r="A1" s="1" t="inlineStr">
        <is>
          <t>Working-Capital-Potenzial je Sektor (Mrd. EUR)</t>
        </is>
      </c>
    </row>
    <row r="2">
      <c r="A2" s="2" t="inlineStr">
        <is>
          <t>Quelle: Lauf auf echten Daten 41282080293 (https://github.com/Parsaka/bilanzwerk/actions/runs/41282080293), Branch real-data-results, Ordner results/.</t>
        </is>
      </c>
    </row>
    <row r="4">
      <c r="A4" t="inlineStr">
        <is>
          <t>Sektor</t>
        </is>
      </c>
      <c r="B4" t="inlineStr">
        <is>
          <t>Sector</t>
        </is>
      </c>
      <c r="C4" t="inlineStr">
        <is>
          <t>Median-Ziel Mrd. EUR</t>
        </is>
      </c>
      <c r="D4" t="inlineStr">
        <is>
          <t>Bestes Quartil Mrd. EUR</t>
        </is>
      </c>
      <c r="E4" t="inlineStr">
        <is>
          <t>Unternehmen</t>
        </is>
      </c>
    </row>
    <row r="5">
      <c r="A5" t="inlineStr">
        <is>
          <t>Technologie und Telekommunikation</t>
        </is>
      </c>
      <c r="B5" t="inlineStr">
        <is>
          <t>Technology and telecommunications</t>
        </is>
      </c>
      <c r="C5" s="6" t="n">
        <v>337.5512413562209</v>
      </c>
      <c r="D5" s="6" t="n">
        <v>611.5125708624678</v>
      </c>
      <c r="E5" t="n">
        <v>1734</v>
      </c>
    </row>
    <row r="6">
      <c r="A6" t="inlineStr">
        <is>
          <t>Handel</t>
        </is>
      </c>
      <c r="B6" t="inlineStr">
        <is>
          <t>Wholesale and retail</t>
        </is>
      </c>
      <c r="C6" s="6" t="n">
        <v>290.8675396061284</v>
      </c>
      <c r="D6" s="6" t="n">
        <v>662.3501888923587</v>
      </c>
      <c r="E6" t="n">
        <v>663</v>
      </c>
    </row>
    <row r="7">
      <c r="A7" t="inlineStr">
        <is>
          <t>Industrie und Bau</t>
        </is>
      </c>
      <c r="B7" t="inlineStr">
        <is>
          <t>Industrials and construction</t>
        </is>
      </c>
      <c r="C7" s="6" t="n">
        <v>137.528646071284</v>
      </c>
      <c r="D7" s="6" t="n">
        <v>357.0809501313436</v>
      </c>
      <c r="E7" t="n">
        <v>752</v>
      </c>
    </row>
    <row r="8">
      <c r="A8" t="inlineStr">
        <is>
          <t>Gesundheit</t>
        </is>
      </c>
      <c r="B8" t="inlineStr">
        <is>
          <t>Health care</t>
        </is>
      </c>
      <c r="C8" s="6" t="n">
        <v>129.8661420995502</v>
      </c>
      <c r="D8" s="6" t="n">
        <v>306.8501897556471</v>
      </c>
      <c r="E8" t="n">
        <v>966</v>
      </c>
    </row>
    <row r="9">
      <c r="A9" t="inlineStr">
        <is>
          <t>Konsumgüter</t>
        </is>
      </c>
      <c r="B9" t="inlineStr">
        <is>
          <t>Consumer goods</t>
        </is>
      </c>
      <c r="C9" s="6" t="n">
        <v>88.15582048040994</v>
      </c>
      <c r="D9" s="6" t="n">
        <v>181.9267432267571</v>
      </c>
      <c r="E9" t="n">
        <v>466</v>
      </c>
    </row>
    <row r="10">
      <c r="A10" t="inlineStr">
        <is>
          <t>Grundstoffe und Chemie</t>
        </is>
      </c>
      <c r="B10" t="inlineStr">
        <is>
          <t>Basic materials and chemicals</t>
        </is>
      </c>
      <c r="C10" s="6" t="n">
        <v>86.12186096861606</v>
      </c>
      <c r="D10" s="6" t="n">
        <v>194.0854244114035</v>
      </c>
      <c r="E10" t="n">
        <v>457</v>
      </c>
    </row>
    <row r="11">
      <c r="A11" t="inlineStr">
        <is>
          <t>Energie</t>
        </is>
      </c>
      <c r="B11" t="inlineStr">
        <is>
          <t>Energy</t>
        </is>
      </c>
      <c r="C11" s="6" t="n">
        <v>77.03735045598265</v>
      </c>
      <c r="D11" s="6" t="n">
        <v>210.2628530230256</v>
      </c>
      <c r="E11" t="n">
        <v>133</v>
      </c>
    </row>
    <row r="12">
      <c r="A12" t="inlineStr">
        <is>
          <t>Transport und Versorger</t>
        </is>
      </c>
      <c r="B12" t="inlineStr">
        <is>
          <t>Transport and utilities</t>
        </is>
      </c>
      <c r="C12" s="6" t="n">
        <v>68.62168185855457</v>
      </c>
      <c r="D12" s="6" t="n">
        <v>194.8130674404332</v>
      </c>
      <c r="E12" t="n">
        <v>272</v>
      </c>
    </row>
    <row r="13">
      <c r="A13" t="inlineStr">
        <is>
          <t>Dienstleistungen</t>
        </is>
      </c>
      <c r="B13" t="inlineStr">
        <is>
          <t>Services</t>
        </is>
      </c>
      <c r="C13" s="6" t="n">
        <v>61.30760593532823</v>
      </c>
      <c r="D13" s="6" t="n">
        <v>152.6829294155131</v>
      </c>
      <c r="E13" t="n">
        <v>726</v>
      </c>
    </row>
    <row r="14">
      <c r="A14" t="inlineStr">
        <is>
          <t>Rohstoffe und Landwirtschaft</t>
        </is>
      </c>
      <c r="B14" t="inlineStr">
        <is>
          <t>Agriculture and materials extraction</t>
        </is>
      </c>
      <c r="C14" s="6" t="n">
        <v>31.49228661521695</v>
      </c>
      <c r="D14" s="6" t="n">
        <v>68.19025235757964</v>
      </c>
      <c r="E14" t="n">
        <v>211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35" customWidth="1" min="2" max="2"/>
    <col width="10" customWidth="1" min="3" max="3"/>
    <col width="20" customWidth="1" min="4" max="4"/>
    <col width="20" customWidth="1" min="5" max="5"/>
    <col width="20" customWidth="1" min="6" max="6"/>
    <col width="22" customWidth="1" min="7" max="7"/>
    <col width="25" customWidth="1" min="8" max="8"/>
  </cols>
  <sheetData>
    <row r="1">
      <c r="A1" s="1" t="inlineStr">
        <is>
          <t>Die 20 Unternehmen mit dem größten Potenzial (letztes Geschäftsjahr)</t>
        </is>
      </c>
    </row>
    <row r="2">
      <c r="A2" s="2" t="inlineStr">
        <is>
          <t>Quelle: Lauf auf echten Daten 41282080293 (https://github.com/Parsaka/bilanzwerk/actions/runs/41282080293), Branch real-data-results, Ordner results/.</t>
        </is>
      </c>
    </row>
    <row r="4">
      <c r="A4" t="inlineStr">
        <is>
          <t>Unternehmen</t>
        </is>
      </c>
      <c r="B4" t="inlineStr">
        <is>
          <t>Sektor</t>
        </is>
      </c>
      <c r="C4" t="inlineStr">
        <is>
          <t>GJ</t>
        </is>
      </c>
      <c r="D4" t="inlineStr">
        <is>
          <t>DSO</t>
        </is>
      </c>
      <c r="E4" t="inlineStr">
        <is>
          <t>DIO</t>
        </is>
      </c>
      <c r="F4" t="inlineStr">
        <is>
          <t>DPO</t>
        </is>
      </c>
      <c r="G4" t="inlineStr">
        <is>
          <t>Median-Ziel Mrd. EUR</t>
        </is>
      </c>
      <c r="H4" t="inlineStr">
        <is>
          <t>Bestes Quartil Mrd. EUR</t>
        </is>
      </c>
    </row>
    <row r="5">
      <c r="A5" t="inlineStr">
        <is>
          <t>AMAZON COM INC</t>
        </is>
      </c>
      <c r="B5" t="inlineStr">
        <is>
          <t>Handel</t>
        </is>
      </c>
      <c r="C5" t="n">
        <v>2025</v>
      </c>
      <c r="D5" s="7" t="n">
        <v>31.35667099999442</v>
      </c>
      <c r="E5" s="7" t="n">
        <v>37.14323090563221</v>
      </c>
      <c r="F5" s="7" t="n">
        <v>110.7409922169163</v>
      </c>
      <c r="G5" s="8" t="n">
        <v>22.85255061238029</v>
      </c>
      <c r="H5" s="8" t="n">
        <v>58.24134523152075</v>
      </c>
    </row>
    <row r="6">
      <c r="A6" t="inlineStr">
        <is>
          <t>CVS HEALTH CORP</t>
        </is>
      </c>
      <c r="B6" t="inlineStr">
        <is>
          <t>Handel</t>
        </is>
      </c>
      <c r="C6" t="n">
        <v>2025</v>
      </c>
      <c r="D6" s="7" t="n">
        <v>34.60930640913082</v>
      </c>
      <c r="E6" s="7" t="n">
        <v>30.82251194798501</v>
      </c>
      <c r="F6" s="7" t="n">
        <v>27.67036899718313</v>
      </c>
      <c r="G6" s="8" t="n">
        <v>21.4639121433964</v>
      </c>
      <c r="H6" s="8" t="n">
        <v>51.93855541592616</v>
      </c>
    </row>
    <row r="7">
      <c r="A7" t="inlineStr">
        <is>
          <t>MICROSOFT CORP</t>
        </is>
      </c>
      <c r="B7" t="inlineStr">
        <is>
          <t>Technologie und Telekommunikation</t>
        </is>
      </c>
      <c r="C7" t="n">
        <v>2026</v>
      </c>
      <c r="D7" s="7" t="n">
        <v>82.92434734916631</v>
      </c>
      <c r="E7" s="7" t="n">
        <v>4.006030608983398</v>
      </c>
      <c r="F7" s="7" t="n">
        <v>120.3353263015399</v>
      </c>
      <c r="G7" s="8" t="n">
        <v>17.24278475793129</v>
      </c>
      <c r="H7" s="8" t="n">
        <v>33.61159719074256</v>
      </c>
    </row>
    <row r="8">
      <c r="A8" t="inlineStr">
        <is>
          <t>MCKESSON CORP</t>
        </is>
      </c>
      <c r="B8" t="inlineStr">
        <is>
          <t>Handel</t>
        </is>
      </c>
      <c r="C8" t="n">
        <v>2026</v>
      </c>
      <c r="D8" s="7" t="n">
        <v>24.25974766378306</v>
      </c>
      <c r="E8" s="7" t="n">
        <v>22.15454638963176</v>
      </c>
      <c r="F8" s="7" t="n">
        <v>54.11128754371529</v>
      </c>
      <c r="G8" s="8" t="n">
        <v>14.61239141408351</v>
      </c>
      <c r="H8" s="8" t="n">
        <v>22.28930386783174</v>
      </c>
    </row>
    <row r="9">
      <c r="A9" t="inlineStr">
        <is>
          <t>ARROW ELECTRONICS, INC.</t>
        </is>
      </c>
      <c r="B9" t="inlineStr">
        <is>
          <t>Handel</t>
        </is>
      </c>
      <c r="C9" t="n">
        <v>2025</v>
      </c>
      <c r="D9" s="7" t="n">
        <v>193.8377143860058</v>
      </c>
      <c r="E9" s="7" t="n">
        <v>65.25039247846435</v>
      </c>
      <c r="F9" s="7" t="n">
        <v>189.4641466714496</v>
      </c>
      <c r="G9" s="8" t="n">
        <v>13.75414858688149</v>
      </c>
      <c r="H9" s="8" t="n">
        <v>16.96912326651928</v>
      </c>
    </row>
    <row r="10">
      <c r="A10" t="inlineStr">
        <is>
          <t>PHILLIPS 66</t>
        </is>
      </c>
      <c r="B10" t="inlineStr">
        <is>
          <t>Energie</t>
        </is>
      </c>
      <c r="C10" t="n">
        <v>2022</v>
      </c>
      <c r="D10" s="7" t="n">
        <v>16.78561974233778</v>
      </c>
      <c r="E10" s="7" t="n">
        <v>8.118847210735533</v>
      </c>
      <c r="F10" s="7" t="n">
        <v>22.36882386681962</v>
      </c>
      <c r="G10" s="8" t="n">
        <v>13.07787025299648</v>
      </c>
      <c r="H10" s="8" t="n">
        <v>27.1111529095038</v>
      </c>
    </row>
    <row r="11">
      <c r="A11" t="inlineStr">
        <is>
          <t>NVIDIA CORP</t>
        </is>
      </c>
      <c r="B11" t="inlineStr">
        <is>
          <t>Technologie und Telekommunikation</t>
        </is>
      </c>
      <c r="C11" t="n">
        <v>2026</v>
      </c>
      <c r="D11" s="7" t="n">
        <v>52.00292445053672</v>
      </c>
      <c r="E11" s="7" t="n">
        <v>91.96714685874349</v>
      </c>
      <c r="F11" s="7" t="n">
        <v>47.09507803121248</v>
      </c>
      <c r="G11" s="8" t="n">
        <v>12.89902639379241</v>
      </c>
      <c r="H11" s="8" t="n">
        <v>25.3084230479033</v>
      </c>
    </row>
    <row r="12">
      <c r="A12" t="inlineStr">
        <is>
          <t>ALPHABET INC.</t>
        </is>
      </c>
      <c r="B12" t="inlineStr">
        <is>
          <t>Technologie und Telekommunikation</t>
        </is>
      </c>
      <c r="C12" t="n">
        <v>2025</v>
      </c>
      <c r="D12" s="7" t="n">
        <v>52.20175207776862</v>
      </c>
      <c r="E12" s="7" t="n">
        <v>5.477189528409266</v>
      </c>
      <c r="F12" s="7" t="n">
        <v>22.6666717937675</v>
      </c>
      <c r="G12" s="8" t="n">
        <v>12.29450530640399</v>
      </c>
      <c r="H12" s="8" t="n">
        <v>42.26842369950578</v>
      </c>
    </row>
    <row r="13">
      <c r="A13" t="inlineStr">
        <is>
          <t>TAIWAN SEMICONDUCTOR MANUFACTURING CO LTD</t>
        </is>
      </c>
      <c r="B13" t="inlineStr">
        <is>
          <t>Technologie und Telekommunikation</t>
        </is>
      </c>
      <c r="C13" t="n">
        <v>2025</v>
      </c>
      <c r="D13" s="7" t="n">
        <v>25.77741952752144</v>
      </c>
      <c r="E13" s="7" t="n">
        <v>67.31484580493745</v>
      </c>
      <c r="F13" s="7" t="n">
        <v>18.18131138183169</v>
      </c>
      <c r="G13" s="8" t="n">
        <v>11.51528425173993</v>
      </c>
      <c r="H13" s="8" t="n">
        <v>16.00301280974867</v>
      </c>
    </row>
    <row r="14">
      <c r="A14" t="inlineStr">
        <is>
          <t>GENERAL ELECTRIC CO</t>
        </is>
      </c>
      <c r="B14" t="inlineStr">
        <is>
          <t>Technologie und Telekommunikation</t>
        </is>
      </c>
      <c r="C14" t="n">
        <v>2024</v>
      </c>
      <c r="D14" s="7" t="n">
        <v>85.02079995865847</v>
      </c>
      <c r="E14" s="7" t="n">
        <v>135.4935617903571</v>
      </c>
      <c r="F14" s="7" t="n">
        <v>115.8080673029455</v>
      </c>
      <c r="G14" s="8" t="n">
        <v>10.73477444420645</v>
      </c>
      <c r="H14" s="8" t="n">
        <v>13.10310350325015</v>
      </c>
    </row>
    <row r="15">
      <c r="A15" t="inlineStr">
        <is>
          <t>INTEL CORP</t>
        </is>
      </c>
      <c r="B15" t="inlineStr">
        <is>
          <t>Technologie und Telekommunikation</t>
        </is>
      </c>
      <c r="C15" t="n">
        <v>2025</v>
      </c>
      <c r="D15" s="7" t="n">
        <v>25.26540593722211</v>
      </c>
      <c r="E15" s="7" t="n">
        <v>126.0635767735947</v>
      </c>
      <c r="F15" s="7" t="n">
        <v>118.7695051917164</v>
      </c>
      <c r="G15" s="8" t="n">
        <v>10.12972028017544</v>
      </c>
      <c r="H15" s="8" t="n">
        <v>10.5382103567743</v>
      </c>
    </row>
    <row r="16">
      <c r="A16" t="inlineStr">
        <is>
          <t>ELI LILLY &amp; CO</t>
        </is>
      </c>
      <c r="B16" t="inlineStr">
        <is>
          <t>Gesundheit</t>
        </is>
      </c>
      <c r="C16" t="n">
        <v>2025</v>
      </c>
      <c r="D16" s="7" t="n">
        <v>80.5442703938385</v>
      </c>
      <c r="E16" s="7" t="n">
        <v>352.2685939196526</v>
      </c>
      <c r="F16" s="7" t="n">
        <v>142.1425986246833</v>
      </c>
      <c r="G16" s="8" t="n">
        <v>10.08793110168437</v>
      </c>
      <c r="H16" s="8" t="n">
        <v>14.3163510238663</v>
      </c>
    </row>
    <row r="17">
      <c r="A17" t="inlineStr">
        <is>
          <t>SUPER MICRO COMPUTER, INC.</t>
        </is>
      </c>
      <c r="B17" t="inlineStr">
        <is>
          <t>Technologie und Telekommunikation</t>
        </is>
      </c>
      <c r="C17" t="n">
        <v>2026</v>
      </c>
      <c r="D17" s="7" t="n">
        <v>38.91418140385887</v>
      </c>
      <c r="E17" s="7" t="n">
        <v>92.07990619770379</v>
      </c>
      <c r="F17" s="7" t="n">
        <v>18.48783325646323</v>
      </c>
      <c r="G17" s="8" t="n">
        <v>9.392496988124723</v>
      </c>
      <c r="H17" s="8" t="n">
        <v>13.08145175083979</v>
      </c>
    </row>
    <row r="18">
      <c r="A18" t="inlineStr">
        <is>
          <t>UNIVERSE PHARMACEUTICALS INC</t>
        </is>
      </c>
      <c r="B18" t="inlineStr">
        <is>
          <t>Gesundheit</t>
        </is>
      </c>
      <c r="C18" t="n">
        <v>2025</v>
      </c>
      <c r="D18" s="7" t="n">
        <v>264.816879776235</v>
      </c>
      <c r="E18" s="7" t="n">
        <v>62.06044669624556</v>
      </c>
      <c r="F18" s="7" t="n">
        <v>103.9734611440145</v>
      </c>
      <c r="G18" s="8" t="n">
        <v>9.28673983309527</v>
      </c>
      <c r="H18" s="8" t="n">
        <v>10.92746937176488</v>
      </c>
    </row>
    <row r="19">
      <c r="A19" t="inlineStr">
        <is>
          <t>MICRON TECHNOLOGY INC</t>
        </is>
      </c>
      <c r="B19" t="inlineStr">
        <is>
          <t>Technologie und Telekommunikation</t>
        </is>
      </c>
      <c r="C19" t="n">
        <v>2025</v>
      </c>
      <c r="D19" s="7" t="n">
        <v>77.5349135855316</v>
      </c>
      <c r="E19" s="7" t="n">
        <v>139.7233948011553</v>
      </c>
      <c r="F19" s="7" t="n">
        <v>137.4365696511886</v>
      </c>
      <c r="G19" s="8" t="n">
        <v>9.241815318779373</v>
      </c>
      <c r="H19" s="8" t="n">
        <v>11.61302572569427</v>
      </c>
    </row>
    <row r="20">
      <c r="A20" t="inlineStr">
        <is>
          <t>TOTAL S.A.</t>
        </is>
      </c>
      <c r="B20" t="inlineStr">
        <is>
          <t>Energie</t>
        </is>
      </c>
      <c r="C20" t="n">
        <v>2019</v>
      </c>
      <c r="D20" s="7" t="n">
        <v>32.57770223047584</v>
      </c>
      <c r="E20" s="7" t="n">
        <v>50.26793780814139</v>
      </c>
      <c r="F20" s="7" t="n">
        <v>85.62445685375276</v>
      </c>
      <c r="G20" s="8" t="n">
        <v>8.797541478650841</v>
      </c>
      <c r="H20" s="8" t="n">
        <v>14.29777977062061</v>
      </c>
    </row>
    <row r="21">
      <c r="A21" t="inlineStr">
        <is>
          <t>KOREA ELECTRIC POWER CORP</t>
        </is>
      </c>
      <c r="B21" t="inlineStr">
        <is>
          <t>Transport und Versorger</t>
        </is>
      </c>
      <c r="C21" t="n">
        <v>2025</v>
      </c>
      <c r="D21" s="7" t="n">
        <v>46.93429967277012</v>
      </c>
      <c r="E21" s="7" t="n">
        <v>45.05007334630803</v>
      </c>
      <c r="F21" s="7" t="n">
        <v>40.77848474512276</v>
      </c>
      <c r="G21" s="8" t="n">
        <v>8.755774196671743</v>
      </c>
      <c r="H21" s="8" t="n">
        <v>20.48589980284605</v>
      </c>
    </row>
    <row r="22">
      <c r="A22" t="inlineStr">
        <is>
          <t>OMNICOM GROUP INC.</t>
        </is>
      </c>
      <c r="B22" t="inlineStr">
        <is>
          <t>Dienstleistungen</t>
        </is>
      </c>
      <c r="C22" t="n">
        <v>2025</v>
      </c>
      <c r="D22" s="7" t="n">
        <v>249.7872266513817</v>
      </c>
      <c r="E22" s="7" t="n">
        <v>0</v>
      </c>
      <c r="F22" s="7" t="n">
        <v>382.7167537710063</v>
      </c>
      <c r="G22" s="8" t="n">
        <v>8.339223103554378</v>
      </c>
      <c r="H22" s="8" t="n">
        <v>9.435160840524256</v>
      </c>
    </row>
    <row r="23">
      <c r="A23" t="inlineStr">
        <is>
          <t>DIAGEO PLC</t>
        </is>
      </c>
      <c r="B23" t="inlineStr">
        <is>
          <t>Konsumgüter</t>
        </is>
      </c>
      <c r="C23" t="n">
        <v>2026</v>
      </c>
      <c r="D23" s="7" t="n">
        <v>44.57648944600533</v>
      </c>
      <c r="E23" s="7" t="n">
        <v>485.6352047224316</v>
      </c>
      <c r="F23" s="7" t="n">
        <v>306.6192539562924</v>
      </c>
      <c r="G23" s="8" t="n">
        <v>8.30059777856188</v>
      </c>
      <c r="H23" s="8" t="n">
        <v>9.340184300808822</v>
      </c>
    </row>
    <row r="24">
      <c r="A24" t="inlineStr">
        <is>
          <t>CORTEVA, INC.</t>
        </is>
      </c>
      <c r="B24" t="inlineStr">
        <is>
          <t>Rohstoffe und Landwirtschaft</t>
        </is>
      </c>
      <c r="C24" t="n">
        <v>2025</v>
      </c>
      <c r="D24" s="7" t="n">
        <v>126.3477673696914</v>
      </c>
      <c r="E24" s="7" t="n">
        <v>220.8425098124727</v>
      </c>
      <c r="F24" s="7" t="n">
        <v>167.8753270824248</v>
      </c>
      <c r="G24" s="8" t="n">
        <v>7.800092782825282</v>
      </c>
      <c r="H24" s="8" t="n">
        <v>8.960598292100697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3" customWidth="1" min="3" max="3"/>
    <col width="26" customWidth="1" min="4" max="4"/>
    <col width="23" customWidth="1" min="5" max="5"/>
    <col width="23" customWidth="1" min="6" max="6"/>
    <col width="24" customWidth="1" min="7" max="7"/>
  </cols>
  <sheetData>
    <row r="1">
      <c r="A1" s="1" t="inlineStr">
        <is>
          <t>Rollierender Backtest 2014–2025, gepoolt</t>
        </is>
      </c>
    </row>
    <row r="2">
      <c r="A2" s="2" t="inlineStr">
        <is>
          <t>Quelle: Lauf auf echten Daten 41282080293 (https://github.com/Parsaka/bilanzwerk/actions/runs/41282080293), Branch real-data-results, Ordner results/.</t>
        </is>
      </c>
    </row>
    <row r="4">
      <c r="A4" t="inlineStr">
        <is>
          <t>Modell</t>
        </is>
      </c>
      <c r="B4" t="inlineStr">
        <is>
          <t>Beobachtungen</t>
        </is>
      </c>
      <c r="C4" t="inlineStr">
        <is>
          <t>Insolvenzen</t>
        </is>
      </c>
      <c r="D4" t="inlineStr">
        <is>
          <t>PR-AUC</t>
        </is>
      </c>
      <c r="E4" t="inlineStr">
        <is>
          <t>Recall Top 5 %</t>
        </is>
      </c>
      <c r="F4" t="inlineStr">
        <is>
          <t>Brier</t>
        </is>
      </c>
    </row>
    <row r="5">
      <c r="A5" t="inlineStr">
        <is>
          <t>M3 LightGBM, alle KPIs</t>
        </is>
      </c>
      <c r="B5" s="9" t="n">
        <v>158038</v>
      </c>
      <c r="C5" s="9" t="n">
        <v>1463</v>
      </c>
      <c r="D5" s="4" t="n">
        <v>0.05314755763096234</v>
      </c>
      <c r="E5" s="10" t="n">
        <v>0.3403964456596035</v>
      </c>
      <c r="F5" s="11" t="n">
        <v>0.009034126681635904</v>
      </c>
    </row>
    <row r="6">
      <c r="A6" t="inlineStr">
        <is>
          <t>M2r sektorrelativ</t>
        </is>
      </c>
      <c r="B6" s="9" t="n">
        <v>158038</v>
      </c>
      <c r="C6" s="9" t="n">
        <v>1463</v>
      </c>
      <c r="D6" s="4" t="n">
        <v>0.02077380869060243</v>
      </c>
      <c r="E6" s="10" t="n">
        <v>0.1066302118933698</v>
      </c>
      <c r="F6" s="11" t="n">
        <v>0.009129585287687168</v>
      </c>
    </row>
    <row r="7">
      <c r="A7" t="inlineStr">
        <is>
          <t>M1 Z'' (Logit)</t>
        </is>
      </c>
      <c r="B7" s="9" t="n">
        <v>158038</v>
      </c>
      <c r="C7" s="9" t="n">
        <v>1463</v>
      </c>
      <c r="D7" s="4" t="n">
        <v>0.01870466879321032</v>
      </c>
      <c r="E7" s="10" t="n">
        <v>0.09842788790157211</v>
      </c>
      <c r="F7" s="11" t="n">
        <v>0.009141236702090641</v>
      </c>
    </row>
    <row r="8">
      <c r="A8" t="inlineStr">
        <is>
          <t>M0 Z''-Regel</t>
        </is>
      </c>
      <c r="B8" s="9" t="n">
        <v>158038</v>
      </c>
      <c r="C8" s="9" t="n">
        <v>1463</v>
      </c>
      <c r="D8" s="4" t="n">
        <v>0.01780218252744106</v>
      </c>
      <c r="E8" s="10" t="n">
        <v>0.06151742993848257</v>
      </c>
      <c r="F8" s="11" t="n">
        <v>0.009122487628866567</v>
      </c>
    </row>
    <row r="9">
      <c r="A9" t="inlineStr">
        <is>
          <t>M2 Z'' + Working Capital</t>
        </is>
      </c>
      <c r="B9" s="9" t="n">
        <v>158038</v>
      </c>
      <c r="C9" s="9" t="n">
        <v>1463</v>
      </c>
      <c r="D9" s="4" t="n">
        <v>0.01663332607320986</v>
      </c>
      <c r="E9" s="10" t="n">
        <v>0.102529049897471</v>
      </c>
      <c r="F9" s="11" t="n">
        <v>0.009170002277381937</v>
      </c>
    </row>
    <row r="10">
      <c r="A10" t="inlineStr">
        <is>
          <t>S1 Hazard</t>
        </is>
      </c>
      <c r="B10" s="9" t="n">
        <v>158038</v>
      </c>
      <c r="C10" s="9" t="n">
        <v>1463</v>
      </c>
      <c r="D10" s="4" t="n">
        <v>0.01621410317264678</v>
      </c>
      <c r="E10" s="10" t="n">
        <v>0.09432672590567327</v>
      </c>
      <c r="F10" s="11" t="n">
        <v>0.009166604046712282</v>
      </c>
    </row>
    <row r="12">
      <c r="A12" s="12" t="inlineStr">
        <is>
          <t>PR-AUC je Testjahr</t>
        </is>
      </c>
    </row>
    <row r="13">
      <c r="A13" t="inlineStr">
        <is>
          <t>Testjahr</t>
        </is>
      </c>
      <c r="B13" t="inlineStr">
        <is>
          <t>M0 Z''-Regel</t>
        </is>
      </c>
      <c r="C13" t="inlineStr">
        <is>
          <t>M1 Z'' (Logit)</t>
        </is>
      </c>
      <c r="D13" t="inlineStr">
        <is>
          <t>M2 Z'' + Working Capital</t>
        </is>
      </c>
      <c r="E13" t="inlineStr">
        <is>
          <t>M2r sektorrelativ</t>
        </is>
      </c>
      <c r="F13" t="inlineStr">
        <is>
          <t>S1 Hazard</t>
        </is>
      </c>
      <c r="G13" t="inlineStr">
        <is>
          <t>M3 LightGBM, alle KPIs</t>
        </is>
      </c>
    </row>
    <row r="14">
      <c r="A14" t="n">
        <v>2014</v>
      </c>
      <c r="B14" s="4" t="n">
        <v>0.01415352107005085</v>
      </c>
      <c r="C14" s="4" t="n">
        <v>0.01548208084265099</v>
      </c>
      <c r="D14" s="4" t="n">
        <v>0.01208224343134769</v>
      </c>
      <c r="E14" s="4" t="n">
        <v>0.01498964700145736</v>
      </c>
      <c r="F14" s="4" t="n">
        <v>0.01640948415862483</v>
      </c>
      <c r="G14" s="4" t="n">
        <v>0.03072566779717609</v>
      </c>
    </row>
    <row r="15">
      <c r="A15" t="n">
        <v>2015</v>
      </c>
      <c r="B15" s="4" t="n">
        <v>0.02225814654001182</v>
      </c>
      <c r="C15" s="4" t="n">
        <v>0.02133885705186314</v>
      </c>
      <c r="D15" s="4" t="n">
        <v>0.02054289381761188</v>
      </c>
      <c r="E15" s="4" t="n">
        <v>0.02349078480563253</v>
      </c>
      <c r="F15" s="4" t="n">
        <v>0.01861431766358739</v>
      </c>
      <c r="G15" s="4" t="n">
        <v>0.05974948532284684</v>
      </c>
    </row>
    <row r="16">
      <c r="A16" t="n">
        <v>2016</v>
      </c>
      <c r="B16" s="4" t="n">
        <v>0.01712150095515083</v>
      </c>
      <c r="C16" s="4" t="n">
        <v>0.02327127782745689</v>
      </c>
      <c r="D16" s="4" t="n">
        <v>0.01967705813776175</v>
      </c>
      <c r="E16" s="4" t="n">
        <v>0.0218476300719704</v>
      </c>
      <c r="F16" s="4" t="n">
        <v>0.01858448893702026</v>
      </c>
      <c r="G16" s="4" t="n">
        <v>0.0503781810682396</v>
      </c>
    </row>
    <row r="17">
      <c r="A17" t="n">
        <v>2017</v>
      </c>
      <c r="B17" s="4" t="n">
        <v>0.01528791848517348</v>
      </c>
      <c r="C17" s="4" t="n">
        <v>0.02306088267976355</v>
      </c>
      <c r="D17" s="4" t="n">
        <v>0.02006833139417337</v>
      </c>
      <c r="E17" s="4" t="n">
        <v>0.0248237420527806</v>
      </c>
      <c r="F17" s="4" t="n">
        <v>0.01837852477156552</v>
      </c>
      <c r="G17" s="4" t="n">
        <v>0.09459130477078165</v>
      </c>
    </row>
    <row r="18">
      <c r="A18" t="n">
        <v>2018</v>
      </c>
      <c r="B18" s="4" t="n">
        <v>0.01432000433165531</v>
      </c>
      <c r="C18" s="4" t="n">
        <v>0.01637876190354214</v>
      </c>
      <c r="D18" s="4" t="n">
        <v>0.0165736580664271</v>
      </c>
      <c r="E18" s="4" t="n">
        <v>0.01969014998880943</v>
      </c>
      <c r="F18" s="4" t="n">
        <v>0.01629015197434738</v>
      </c>
      <c r="G18" s="4" t="n">
        <v>0.04344313518220137</v>
      </c>
    </row>
    <row r="19">
      <c r="A19" t="n">
        <v>2019</v>
      </c>
      <c r="B19" s="4" t="n">
        <v>0.02581937171939991</v>
      </c>
      <c r="C19" s="4" t="n">
        <v>0.02672401520812096</v>
      </c>
      <c r="D19" s="4" t="n">
        <v>0.03552984082440133</v>
      </c>
      <c r="E19" s="4" t="n">
        <v>0.03434051943926236</v>
      </c>
      <c r="F19" s="4" t="n">
        <v>0.02371530973747062</v>
      </c>
      <c r="G19" s="4" t="n">
        <v>0.1009373708488583</v>
      </c>
    </row>
    <row r="20">
      <c r="A20" t="n">
        <v>2020</v>
      </c>
      <c r="B20" s="4" t="n">
        <v>0.01050637733559275</v>
      </c>
      <c r="C20" s="4" t="n">
        <v>0.0131241315089562</v>
      </c>
      <c r="D20" s="4" t="n">
        <v>0.01172735552684975</v>
      </c>
      <c r="E20" s="4" t="n">
        <v>0.01287448252958281</v>
      </c>
      <c r="F20" s="4" t="n">
        <v>0.01248206379029986</v>
      </c>
      <c r="G20" s="4" t="n">
        <v>0.06796618609123846</v>
      </c>
    </row>
    <row r="21">
      <c r="A21" t="n">
        <v>2021</v>
      </c>
      <c r="B21" s="4" t="n">
        <v>0.00253907415822615</v>
      </c>
      <c r="C21" s="4" t="n">
        <v>0.00322015730998781</v>
      </c>
      <c r="D21" s="4" t="n">
        <v>0.002470592522692309</v>
      </c>
      <c r="E21" s="4" t="n">
        <v>0.003145493290994698</v>
      </c>
      <c r="F21" s="4" t="n">
        <v>0.002663233335646381</v>
      </c>
      <c r="G21" s="4" t="n">
        <v>0.01268507894257044</v>
      </c>
    </row>
    <row r="22">
      <c r="A22" t="n">
        <v>2022</v>
      </c>
      <c r="B22" s="4" t="n">
        <v>0.02236400767310238</v>
      </c>
      <c r="C22" s="4" t="n">
        <v>0.01765031095922493</v>
      </c>
      <c r="D22" s="4" t="n">
        <v>0.01418611535492422</v>
      </c>
      <c r="E22" s="4" t="n">
        <v>0.02089975079528732</v>
      </c>
      <c r="F22" s="4" t="n">
        <v>0.01484082697292052</v>
      </c>
      <c r="G22" s="4" t="n">
        <v>0.05351346367264193</v>
      </c>
    </row>
    <row r="23">
      <c r="A23" t="n">
        <v>2023</v>
      </c>
      <c r="B23" s="4" t="n">
        <v>0.0361409403220081</v>
      </c>
      <c r="C23" s="4" t="n">
        <v>0.03474053808908943</v>
      </c>
      <c r="D23" s="4" t="n">
        <v>0.03173153337087265</v>
      </c>
      <c r="E23" s="4" t="n">
        <v>0.03921778954887776</v>
      </c>
      <c r="F23" s="4" t="n">
        <v>0.0310569419900579</v>
      </c>
      <c r="G23" s="4" t="n">
        <v>0.105737233732946</v>
      </c>
    </row>
    <row r="24">
      <c r="A24" t="n">
        <v>2024</v>
      </c>
      <c r="B24" s="4" t="n">
        <v>0.03005047023496483</v>
      </c>
      <c r="C24" s="4" t="n">
        <v>0.02772987798385734</v>
      </c>
      <c r="D24" s="4" t="n">
        <v>0.02581613939449529</v>
      </c>
      <c r="E24" s="4" t="n">
        <v>0.04032108070255819</v>
      </c>
      <c r="F24" s="4" t="n">
        <v>0.02525754163257247</v>
      </c>
      <c r="G24" s="4" t="n">
        <v>0.1286323566782011</v>
      </c>
    </row>
    <row r="25">
      <c r="A25" t="n">
        <v>2025</v>
      </c>
      <c r="B25" s="4" t="n">
        <v>0.01260530206122373</v>
      </c>
      <c r="C25" s="4" t="n">
        <v>0.01849592243015061</v>
      </c>
      <c r="D25" s="4" t="n">
        <v>0.01201567078418292</v>
      </c>
      <c r="E25" s="4" t="n">
        <v>0.01732388285001352</v>
      </c>
      <c r="F25" s="4" t="n">
        <v>0.01501833611997659</v>
      </c>
      <c r="G25" s="4" t="n">
        <v>0.04173542584041173</v>
      </c>
    </row>
  </sheetData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0" customWidth="1" min="3" max="3"/>
  </cols>
  <sheetData>
    <row r="1">
      <c r="A1" s="1" t="inlineStr">
        <is>
          <t>H1: Vorlauf der roten Flaggen vor der Insolvenz</t>
        </is>
      </c>
    </row>
    <row r="2">
      <c r="A2" s="2" t="inlineStr">
        <is>
          <t>Quelle: Lauf auf echten Daten 41282080293 (https://github.com/Parsaka/bilanzwerk/actions/runs/41282080293), Branch real-data-results, Ordner results/.</t>
        </is>
      </c>
    </row>
    <row r="4">
      <c r="A4" t="inlineStr">
        <is>
          <t>Messgröße</t>
        </is>
      </c>
      <c r="B4" t="inlineStr">
        <is>
          <t>CCC</t>
        </is>
      </c>
      <c r="C4" t="inlineStr">
        <is>
          <t>Z''</t>
        </is>
      </c>
    </row>
    <row r="5">
      <c r="A5" t="inlineStr">
        <is>
          <t>Insolvenzen mit Kennzahlen</t>
        </is>
      </c>
      <c r="B5" t="n">
        <v>645</v>
      </c>
      <c r="C5" t="n">
        <v>645</v>
      </c>
    </row>
    <row r="6">
      <c r="A6" t="inlineStr">
        <is>
          <t>Median-Vorlauf (Monate)</t>
        </is>
      </c>
      <c r="B6" s="7" t="n">
        <v>0</v>
      </c>
      <c r="C6" s="7" t="n">
        <v>12.68172484599589</v>
      </c>
    </row>
    <row r="7">
      <c r="A7" t="inlineStr">
        <is>
          <t>Median-Vorlauf nur geflaggte (Monate)</t>
        </is>
      </c>
      <c r="B7" s="7" t="n">
        <v>4.698151950718686</v>
      </c>
      <c r="C7" s="7" t="n">
        <v>23.19507186858316</v>
      </c>
    </row>
    <row r="8">
      <c r="A8" t="inlineStr">
        <is>
          <t>Anteil bis zum Ereignis rot</t>
        </is>
      </c>
      <c r="B8" s="10" t="n">
        <v>0.04496124031007753</v>
      </c>
      <c r="C8" s="10" t="n">
        <v>0.6806201550387596</v>
      </c>
    </row>
    <row r="9">
      <c r="A9" t="inlineStr">
        <is>
          <t>Anteil im letzten Quartal berechenbar</t>
        </is>
      </c>
      <c r="B9" s="10" t="n">
        <v>0.4</v>
      </c>
      <c r="C9" s="10" t="n">
        <v>0.751937984496124</v>
      </c>
    </row>
    <row r="10">
      <c r="A10" t="inlineStr">
        <is>
          <t>Sensitivität: Median nur berechenbare Quartale</t>
        </is>
      </c>
      <c r="B10" s="7" t="n">
        <v>0</v>
      </c>
      <c r="C10" s="7" t="n">
        <v>21.09240246406571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7" customWidth="1" min="3" max="3"/>
    <col width="35" customWidth="1" min="4" max="4"/>
    <col width="12" customWidth="1" min="5" max="5"/>
    <col width="21" customWidth="1" min="6" max="6"/>
    <col width="13" customWidth="1" min="7" max="7"/>
    <col width="20" customWidth="1" min="8" max="8"/>
  </cols>
  <sheetData>
    <row r="1">
      <c r="A1" s="1" t="inlineStr">
        <is>
          <t>Fallstudien (Auswahl nach fester Regel, docs/case-studies.md)</t>
        </is>
      </c>
    </row>
    <row r="2">
      <c r="A2" s="2" t="inlineStr">
        <is>
          <t>Quelle: Lauf auf echten Daten 41282080293 (https://github.com/Parsaka/bilanzwerk/actions/runs/41282080293), Branch real-data-results, Ordner results/.</t>
        </is>
      </c>
    </row>
    <row r="4">
      <c r="A4" t="inlineStr">
        <is>
          <t>Rang</t>
        </is>
      </c>
      <c r="B4" t="inlineStr">
        <is>
          <t>CIK</t>
        </is>
      </c>
      <c r="C4" t="inlineStr">
        <is>
          <t>Unternehmen</t>
        </is>
      </c>
      <c r="D4" t="inlineStr">
        <is>
          <t>Sektor</t>
        </is>
      </c>
      <c r="E4" t="inlineStr">
        <is>
          <t>Ereignis</t>
        </is>
      </c>
      <c r="F4" t="inlineStr">
        <is>
          <t>Umsatz TTM Mrd. EUR</t>
        </is>
      </c>
      <c r="G4" t="inlineStr">
        <is>
          <t>Vorlauf CCC</t>
        </is>
      </c>
      <c r="H4" t="inlineStr">
        <is>
          <t>Vorlauf Z''</t>
        </is>
      </c>
    </row>
    <row r="5">
      <c r="A5" t="n">
        <v>1</v>
      </c>
      <c r="B5" t="n">
        <v>1031296</v>
      </c>
      <c r="C5" t="inlineStr">
        <is>
          <t>FIRSTENERGY CORP</t>
        </is>
      </c>
      <c r="D5" t="inlineStr">
        <is>
          <t>Transport und Versorger</t>
        </is>
      </c>
      <c r="E5" t="inlineStr">
        <is>
          <t>2018-04-05</t>
        </is>
      </c>
      <c r="F5" s="7" t="n">
        <v>11.47689112358048</v>
      </c>
      <c r="G5" s="7" t="n"/>
      <c r="H5" s="7" t="n"/>
    </row>
    <row r="6">
      <c r="A6" t="n">
        <v>2</v>
      </c>
      <c r="B6" t="n">
        <v>1166126</v>
      </c>
      <c r="C6" t="inlineStr">
        <is>
          <t>J C PENNEY CO INC</t>
        </is>
      </c>
      <c r="D6" t="inlineStr">
        <is>
          <t>Handel</t>
        </is>
      </c>
      <c r="E6" t="inlineStr">
        <is>
          <t>2014-01-28</t>
        </is>
      </c>
      <c r="F6" s="7" t="n">
        <v>9.075502654759843</v>
      </c>
      <c r="G6" s="7" t="n"/>
      <c r="H6" s="7" t="n">
        <v>10.28336755646817</v>
      </c>
    </row>
    <row r="7">
      <c r="A7" t="n">
        <v>3</v>
      </c>
      <c r="B7" t="n">
        <v>1400891</v>
      </c>
      <c r="C7" t="inlineStr">
        <is>
          <t>IHEARTMEDIA, INC.</t>
        </is>
      </c>
      <c r="D7" t="inlineStr">
        <is>
          <t>Technologie und Telekommunikation</t>
        </is>
      </c>
      <c r="E7" t="inlineStr">
        <is>
          <t>2018-03-15</t>
        </is>
      </c>
      <c r="F7" s="7" t="n">
        <v>5.462597880297291</v>
      </c>
      <c r="G7" s="7" t="n"/>
      <c r="H7" s="7" t="n">
        <v>70.30800821355236</v>
      </c>
    </row>
    <row r="10">
      <c r="A10" s="12" t="inlineStr">
        <is>
          <t>Prüfung der Labels gegen den Text der 8-K (label_audit.json)</t>
        </is>
      </c>
    </row>
    <row r="11">
      <c r="A11" t="inlineStr">
        <is>
          <t>Befund</t>
        </is>
      </c>
      <c r="B11" t="inlineStr">
        <is>
          <t>alle Filings</t>
        </is>
      </c>
      <c r="C11" t="inlineStr">
        <is>
          <t>erstes Ereignis</t>
        </is>
      </c>
    </row>
    <row r="12">
      <c r="A12" t="inlineStr">
        <is>
          <t>Unternehmen selbst Schuldner</t>
        </is>
      </c>
      <c r="B12" t="n">
        <v>2925</v>
      </c>
      <c r="C12" t="n">
        <v>1530</v>
      </c>
    </row>
    <row r="13">
      <c r="A13" t="inlineStr">
        <is>
          <t>nur Tochter (Wortlaut)</t>
        </is>
      </c>
      <c r="B13" t="n">
        <v>250</v>
      </c>
      <c r="C13" t="n">
        <v>164</v>
      </c>
    </row>
    <row r="14">
      <c r="A14" t="inlineStr">
        <is>
          <t>nicht erkennbar</t>
        </is>
      </c>
      <c r="B14" t="n">
        <v>310</v>
      </c>
      <c r="C14" t="n">
        <v>162</v>
      </c>
    </row>
    <row r="15">
      <c r="A15" t="inlineStr">
        <is>
          <t>kein Item 1.03 gefunden</t>
        </is>
      </c>
      <c r="B15" t="n">
        <v>124</v>
      </c>
      <c r="C15" t="n">
        <v>58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5" customWidth="1" min="3" max="3"/>
    <col width="14" customWidth="1" min="4" max="4"/>
    <col width="13" customWidth="1" min="5" max="5"/>
    <col width="21" customWidth="1" min="6" max="6"/>
    <col width="18" customWidth="1" min="7" max="7"/>
    <col width="10" customWidth="1" min="8" max="8"/>
  </cols>
  <sheetData>
    <row r="1">
      <c r="A1" s="1" t="inlineStr">
        <is>
          <t>Datenqualitätsregeln (letzter Stand je Regel)</t>
        </is>
      </c>
    </row>
    <row r="2">
      <c r="A2" s="2" t="inlineStr">
        <is>
          <t>Quelle: Lauf auf echten Daten 41282080293 (https://github.com/Parsaka/bilanzwerk/actions/runs/41282080293), Branch real-data-results, Ordner results/.</t>
        </is>
      </c>
    </row>
    <row r="4">
      <c r="A4" t="inlineStr">
        <is>
          <t>rule_code</t>
        </is>
      </c>
      <c r="B4" t="inlineStr">
        <is>
          <t>dq_dimension</t>
        </is>
      </c>
      <c r="C4" t="inlineStr">
        <is>
          <t>table_name</t>
        </is>
      </c>
      <c r="D4" t="inlineStr">
        <is>
          <t>rows_checked</t>
        </is>
      </c>
      <c r="E4" t="inlineStr">
        <is>
          <t>rows_failed</t>
        </is>
      </c>
      <c r="F4" t="inlineStr">
        <is>
          <t>pass_rate</t>
        </is>
      </c>
      <c r="G4" t="inlineStr">
        <is>
          <t>target_pass_rate</t>
        </is>
      </c>
      <c r="H4" t="inlineStr">
        <is>
          <t>status</t>
        </is>
      </c>
    </row>
    <row r="5">
      <c r="A5" t="inlineStr">
        <is>
          <t>COMPL_ANNUAL_CORE</t>
        </is>
      </c>
      <c r="B5" t="inlineStr">
        <is>
          <t>Completeness</t>
        </is>
      </c>
      <c r="C5" t="inlineStr">
        <is>
          <t>int_company_period_wide</t>
        </is>
      </c>
      <c r="D5" s="9" t="n">
        <v>88896</v>
      </c>
      <c r="E5" s="9" t="n">
        <v>15080</v>
      </c>
      <c r="F5" s="13" t="n">
        <v>0.8303635709143269</v>
      </c>
      <c r="G5" s="13" t="n">
        <v>0.95</v>
      </c>
      <c r="H5" t="inlineStr">
        <is>
          <t>fail</t>
        </is>
      </c>
    </row>
    <row r="6">
      <c r="A6" t="inlineStr">
        <is>
          <t>COMPL_GOLDEN_RECORD</t>
        </is>
      </c>
      <c r="B6" t="inlineStr">
        <is>
          <t>Completeness</t>
        </is>
      </c>
      <c r="C6" t="inlineStr">
        <is>
          <t>bv_company_golden</t>
        </is>
      </c>
      <c r="D6" s="9" t="n">
        <v>991164</v>
      </c>
      <c r="E6" s="9" t="n">
        <v>0</v>
      </c>
      <c r="F6" s="13" t="n">
        <v>1</v>
      </c>
      <c r="G6" s="13" t="n">
        <v>1</v>
      </c>
      <c r="H6" t="inlineStr">
        <is>
          <t>pass</t>
        </is>
      </c>
    </row>
    <row r="7">
      <c r="A7" t="inlineStr">
        <is>
          <t>CONS_BALANCE_CHECK</t>
        </is>
      </c>
      <c r="B7" t="inlineStr">
        <is>
          <t>Consistency</t>
        </is>
      </c>
      <c r="C7" t="inlineStr">
        <is>
          <t>int_company_period_wide</t>
        </is>
      </c>
      <c r="D7" s="9" t="n">
        <v>426270</v>
      </c>
      <c r="E7" s="9" t="n">
        <v>454</v>
      </c>
      <c r="F7" s="13" t="n">
        <v>0.9989349473338495</v>
      </c>
      <c r="G7" s="13" t="n">
        <v>0.98</v>
      </c>
      <c r="H7" t="inlineStr">
        <is>
          <t>pass</t>
        </is>
      </c>
    </row>
    <row r="8">
      <c r="A8" t="inlineStr">
        <is>
          <t>CONS_CASH_BS_CF</t>
        </is>
      </c>
      <c r="B8" t="inlineStr">
        <is>
          <t>Consistency</t>
        </is>
      </c>
      <c r="C8" t="inlineStr">
        <is>
          <t>int_company_period_wide</t>
        </is>
      </c>
      <c r="D8" s="9" t="n">
        <v>460360</v>
      </c>
      <c r="E8" s="9" t="n">
        <v>41462</v>
      </c>
      <c r="F8" s="13" t="n">
        <v>0.9099357024937006</v>
      </c>
      <c r="G8" s="13" t="n">
        <v>0.9</v>
      </c>
      <c r="H8" t="inlineStr">
        <is>
          <t>pass</t>
        </is>
      </c>
    </row>
    <row r="9">
      <c r="A9" t="inlineStr">
        <is>
          <t>CONS_QUARTERS_SUM_TO_YEAR</t>
        </is>
      </c>
      <c r="B9" t="inlineStr">
        <is>
          <t>Consistency</t>
        </is>
      </c>
      <c r="C9" t="inlineStr">
        <is>
          <t>bv_period_values</t>
        </is>
      </c>
      <c r="D9" s="9" t="n">
        <v>27539</v>
      </c>
      <c r="E9" s="9" t="n">
        <v>2779</v>
      </c>
      <c r="F9" s="13" t="n">
        <v>0.8990885653073822</v>
      </c>
      <c r="G9" s="13" t="n">
        <v>0.98</v>
      </c>
      <c r="H9" t="inlineStr">
        <is>
          <t>fail</t>
        </is>
      </c>
    </row>
    <row r="10">
      <c r="A10" t="inlineStr">
        <is>
          <t>MDM_LEI_MATCH_RATE</t>
        </is>
      </c>
      <c r="B10" t="inlineStr">
        <is>
          <t>Master data</t>
        </is>
      </c>
      <c r="C10" t="inlineStr">
        <is>
          <t>bv_company_golden</t>
        </is>
      </c>
      <c r="D10" s="9" t="n">
        <v>16891</v>
      </c>
      <c r="E10" s="9" t="n">
        <v>13113</v>
      </c>
      <c r="F10" s="13" t="n">
        <v>0.2236694097448345</v>
      </c>
      <c r="G10" s="13" t="n"/>
      <c r="H10" t="inlineStr">
        <is>
          <t>info</t>
        </is>
      </c>
    </row>
    <row r="11">
      <c r="A11" t="inlineStr">
        <is>
          <t>SCALE_OUTLIER_TOTAL_ASSETS</t>
        </is>
      </c>
      <c r="B11" t="inlineStr">
        <is>
          <t>Validity</t>
        </is>
      </c>
      <c r="C11" t="inlineStr">
        <is>
          <t>int_company_period_wide</t>
        </is>
      </c>
      <c r="D11" s="9" t="n">
        <v>389780</v>
      </c>
      <c r="E11" s="9" t="n">
        <v>213</v>
      </c>
      <c r="F11" s="13" t="n">
        <v>0.9994535378931705</v>
      </c>
      <c r="G11" s="13" t="n">
        <v>0.999</v>
      </c>
      <c r="H11" t="inlineStr">
        <is>
          <t>pass</t>
        </is>
      </c>
    </row>
    <row r="12">
      <c r="A12" t="inlineStr">
        <is>
          <t>TIMELY_SEC_QUARTER</t>
        </is>
      </c>
      <c r="B12" t="inlineStr">
        <is>
          <t>Timeliness</t>
        </is>
      </c>
      <c r="C12" t="inlineStr">
        <is>
          <t>sat_filing</t>
        </is>
      </c>
      <c r="D12" s="9" t="n">
        <v>1</v>
      </c>
      <c r="E12" s="9" t="n">
        <v>0</v>
      </c>
      <c r="F12" s="13" t="n">
        <v>1</v>
      </c>
      <c r="G12" s="13" t="n">
        <v>1</v>
      </c>
      <c r="H12" t="inlineStr">
        <is>
          <t>pass</t>
        </is>
      </c>
    </row>
    <row r="13">
      <c r="A13" t="inlineStr">
        <is>
          <t>UNIQ_FACT_FINANCIAL_LINE</t>
        </is>
      </c>
      <c r="B13" t="inlineStr">
        <is>
          <t>Uniqueness</t>
        </is>
      </c>
      <c r="C13" t="inlineStr">
        <is>
          <t>fact_financial_line</t>
        </is>
      </c>
      <c r="D13" s="9" t="n">
        <v>31260160</v>
      </c>
      <c r="E13" s="9" t="n">
        <v>0</v>
      </c>
      <c r="F13" s="13" t="n">
        <v>1</v>
      </c>
      <c r="G13" s="13" t="n">
        <v>1</v>
      </c>
      <c r="H13" t="inlineStr">
        <is>
          <t>pass</t>
        </is>
      </c>
    </row>
    <row r="14">
      <c r="A14" t="inlineStr">
        <is>
          <t>UNIQ_GOLDEN_PER_LEI</t>
        </is>
      </c>
      <c r="B14" t="inlineStr">
        <is>
          <t>Uniqueness</t>
        </is>
      </c>
      <c r="C14" t="inlineStr">
        <is>
          <t>dim_company</t>
        </is>
      </c>
      <c r="D14" s="9" t="n">
        <v>6053</v>
      </c>
      <c r="E14" s="9" t="n">
        <v>29</v>
      </c>
      <c r="F14" s="13" t="n">
        <v>0.9952089872790352</v>
      </c>
      <c r="G14" s="13" t="n">
        <v>0.99</v>
      </c>
      <c r="H14" t="inlineStr">
        <is>
          <t>pass</t>
        </is>
      </c>
    </row>
    <row r="15">
      <c r="A15" t="inlineStr">
        <is>
          <t>VALID_EQUITY_RATIO_BOUNDS</t>
        </is>
      </c>
      <c r="B15" t="inlineStr">
        <is>
          <t>Validity</t>
        </is>
      </c>
      <c r="C15" t="inlineStr">
        <is>
          <t>fact_kpi</t>
        </is>
      </c>
      <c r="D15" s="9" t="n">
        <v>821339</v>
      </c>
      <c r="E15" s="9" t="n">
        <v>54271</v>
      </c>
      <c r="F15" s="13" t="n">
        <v>0.9339237513377545</v>
      </c>
      <c r="G15" s="13" t="n">
        <v>0.99</v>
      </c>
      <c r="H15" t="inlineStr">
        <is>
          <t>fail</t>
        </is>
      </c>
    </row>
    <row r="16">
      <c r="A16" t="inlineStr">
        <is>
          <t>VALID_ISO_CURRENCY</t>
        </is>
      </c>
      <c r="B16" t="inlineStr">
        <is>
          <t>Validity</t>
        </is>
      </c>
      <c r="C16" t="inlineStr">
        <is>
          <t>fact_financial_line</t>
        </is>
      </c>
      <c r="D16" s="9" t="n">
        <v>31260160</v>
      </c>
      <c r="E16" s="9" t="n">
        <v>0</v>
      </c>
      <c r="F16" s="13" t="n">
        <v>1</v>
      </c>
      <c r="G16" s="13" t="n">
        <v>1</v>
      </c>
      <c r="H16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2026-11-01T13:16:55Z</dcterms:created>
  <dcterms:modified xsi:type="dcterms:W3CDTF">2026-11-01T13:16:56Z</dcterms:modified>
</cp:coreProperties>
</file>