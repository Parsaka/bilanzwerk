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kpit" sheetId="1" state="visible" r:id="rId1"/>
    <sheet name="Stammdaten" sheetId="2" state="visible" r:id="rId2"/>
    <sheet name="Risikoliste" sheetId="3" state="visible" r:id="rId3"/>
    <sheet name="Peer" sheetId="4" state="visible" r:id="rId4"/>
    <sheet name="Hinweise" sheetId="5" state="visible" r:id="rId5"/>
  </sheets>
  <definedNames>
    <definedName name="BW_Verbindung">Hinweise!$B$1</definedName>
    <definedName name="_xlnm.Print_Area" localSheetId="0">'Cockpit'!$A$1:$G$44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+0.0%;-0.0%"/>
    <numFmt numFmtId="167" formatCode="dd.mm.yyyy"/>
  </numFmts>
  <fonts count="9">
    <font>
      <name val="Calibri"/>
      <family val="2"/>
      <color theme="1"/>
      <sz val="11"/>
      <scheme val="minor"/>
    </font>
    <font>
      <name val="Segoe UI Semibold"/>
      <color rgb="00262626"/>
      <sz val="18"/>
    </font>
    <font>
      <name val="Segoe UI"/>
      <color rgb="001F5AA6"/>
      <sz val="11"/>
    </font>
    <font>
      <name val="Segoe UI"/>
      <color rgb="00262626"/>
      <sz val="10"/>
    </font>
    <font>
      <name val="Segoe UI"/>
      <color rgb="008C8C8C"/>
      <sz val="8"/>
    </font>
    <font>
      <name val="Segoe UI Semibold"/>
      <sz val="11"/>
    </font>
    <font>
      <name val="Segoe UI Semibold"/>
      <color rgb="00FFFFFF"/>
      <sz val="10"/>
    </font>
    <font>
      <name val="Segoe UI Semibold"/>
      <color rgb="00262626"/>
      <sz val="14"/>
    </font>
    <font>
      <name val="Segoe UI Semibold"/>
      <sz val="10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5AA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164" fontId="3" fillId="0" borderId="1" pivotButton="0" quotePrefix="0" xfId="0"/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pivotButton="0" quotePrefix="0" xfId="0"/>
    <xf numFmtId="9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0" fontId="0" fillId="0" borderId="1" pivotButton="0" quotePrefix="0" xfId="0"/>
    <xf numFmtId="166" fontId="3" fillId="0" borderId="1" applyAlignment="1" pivotButton="0" quotePrefix="0" xfId="0">
      <alignment horizontal="right"/>
    </xf>
    <xf numFmtId="167" fontId="4" fillId="0" borderId="0" applyAlignment="1" pivotButton="0" quotePrefix="0" xfId="0">
      <alignment horizontal="left"/>
    </xf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4">
    <dxf>
      <font>
        <b val="1"/>
        <color rgb="00C62828"/>
      </font>
    </dxf>
    <dxf>
      <font>
        <b val="1"/>
        <color rgb="00C62828"/>
      </font>
      <fill>
        <patternFill patternType="solid">
          <fgColor rgb="00FDECEA"/>
        </patternFill>
      </fill>
    </dxf>
    <dxf>
      <font>
        <b val="1"/>
        <color rgb="00F2B705"/>
      </font>
    </dxf>
    <dxf>
      <font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2" customWidth="1" min="5" max="5"/>
    <col width="16" customWidth="1" min="6" max="6"/>
    <col width="13" customWidth="1" min="7" max="7"/>
    <col width="2" customWidth="1" min="8" max="8"/>
    <col width="2" customWidth="1" min="9" max="9"/>
    <col hidden="1" width="40" customWidth="1" min="10" max="10"/>
    <col hidden="1" width="40" customWidth="1" min="11" max="11"/>
  </cols>
  <sheetData>
    <row r="1">
      <c r="B1" s="1" t="inlineStr">
        <is>
          <t>Management Cockpit</t>
        </is>
      </c>
    </row>
    <row r="2">
      <c r="B2" s="2">
        <f>"Geschäftsjahr "&amp;C4&amp;" · "&amp;C3</f>
        <v/>
      </c>
    </row>
    <row r="3">
      <c r="B3" s="3" t="inlineStr">
        <is>
          <t>Unternehmen</t>
        </is>
      </c>
      <c r="C3" s="4" t="inlineStr">
        <is>
          <t>Apple Inc.</t>
        </is>
      </c>
      <c r="J3" s="5">
        <f>CUBEMEMBER(BW_Verbindung,"[dim_company].[company_id].&amp;["&amp;$C$5&amp;"]",$C$3)</f>
        <v/>
      </c>
    </row>
    <row r="4">
      <c r="B4" s="3" t="inlineStr">
        <is>
          <t>Geschäftsjahr</t>
        </is>
      </c>
      <c r="C4" s="4">
        <f>YEAR(TODAY())-1</f>
        <v/>
      </c>
      <c r="J4" s="5">
        <f>CUBEMEMBER(BW_Verbindung,"[dim_period].[fiscal_year].&amp;["&amp;$C$4&amp;"]","GJ "&amp;$C$4)</f>
        <v/>
      </c>
    </row>
    <row r="5">
      <c r="B5" s="3" t="inlineStr">
        <is>
          <t>Unternehmens-ID</t>
        </is>
      </c>
      <c r="C5" s="6">
        <f>_xlfn.XLOOKUP($C$3,Stammdaten!$A:$A,Stammdaten!$B:$B,"nicht gefunden")</f>
        <v/>
      </c>
      <c r="J5" s="5">
        <f>CUBEMEMBER(BW_Verbindung,"[dim_period].[fiscal_year].&amp;["&amp;($C$4-1)&amp;"]","GJ "&amp;($C$4-1))</f>
        <v/>
      </c>
    </row>
    <row r="6">
      <c r="B6" s="3" t="inlineStr">
        <is>
          <t>LEI</t>
        </is>
      </c>
      <c r="C6" s="6">
        <f>_xlfn.XLOOKUP($C$3,Stammdaten!$A:$A,Stammdaten!$C:$C,"nicht gefunden")</f>
        <v/>
      </c>
      <c r="J6" s="5">
        <f>CUBEMEMBER(BW_Verbindung,"[dim_period].[is_fiscal_year_end].&amp;[1]","Geschäftsjahresende")</f>
        <v/>
      </c>
    </row>
    <row r="7">
      <c r="B7" s="3" t="inlineStr">
        <is>
          <t>CIK</t>
        </is>
      </c>
      <c r="C7" s="6">
        <f>_xlfn.XLOOKUP($C$3,Stammdaten!$A:$A,Stammdaten!$D:$D,"nicht gefunden")</f>
        <v/>
      </c>
      <c r="J7" s="5">
        <f>CUBEMEMBER(BW_Verbindung,"[dim_scenario].[scenario_code].&amp;[PLAN]","Plan")</f>
        <v/>
      </c>
    </row>
    <row r="8">
      <c r="B8" s="3" t="inlineStr">
        <is>
          <t>Sektor</t>
        </is>
      </c>
      <c r="C8" s="6">
        <f>_xlfn.XLOOKUP($C$3,Stammdaten!$A:$A,Stammdaten!$E:$E,"nicht gefunden")</f>
        <v/>
      </c>
      <c r="J8" s="5">
        <f>CUBEMEMBER(BW_Verbindung,"[dim_scenario].[scenario_code].&amp;[IST]","Ist")</f>
        <v/>
      </c>
    </row>
    <row r="9">
      <c r="B9" s="3" t="inlineStr">
        <is>
          <t>Land</t>
        </is>
      </c>
      <c r="C9" s="6">
        <f>_xlfn.XLOOKUP($C$3,Stammdaten!$A:$A,Stammdaten!$F:$F,"nicht gefunden")</f>
        <v/>
      </c>
    </row>
    <row r="10">
      <c r="B10" s="3" t="inlineStr">
        <is>
          <t>Status</t>
        </is>
      </c>
      <c r="C10" s="6">
        <f>_xlfn.XLOOKUP($C$3,Stammdaten!$A:$A,Stammdaten!$H:$H,"nicht gefunden")</f>
        <v/>
      </c>
    </row>
    <row r="12">
      <c r="B12" s="7" t="inlineStr">
        <is>
          <t>Größen in Mio. EUR</t>
        </is>
      </c>
    </row>
    <row r="13">
      <c r="B13" s="8" t="inlineStr">
        <is>
          <t>Position</t>
        </is>
      </c>
      <c r="C13" s="9" t="inlineStr">
        <is>
          <t>GJ</t>
        </is>
      </c>
      <c r="D13" s="9" t="inlineStr">
        <is>
          <t>Vorjahr</t>
        </is>
      </c>
      <c r="E13" s="9" t="inlineStr">
        <is>
          <t>Δ %</t>
        </is>
      </c>
      <c r="F13" s="9" t="inlineStr">
        <is>
          <t>Plan GJ</t>
        </is>
      </c>
      <c r="G13" s="9" t="inlineStr">
        <is>
          <t>Plan-Ist %</t>
        </is>
      </c>
    </row>
    <row r="14">
      <c r="B14" s="10" t="inlineStr">
        <is>
          <t>Umsatz</t>
        </is>
      </c>
      <c r="C14" s="11">
        <f>IFERROR(CUBEVALUE(BW_Verbindung,"[Measures].[Umsatz]",$J$3,$J$4,$J$8)/10^6,"–")</f>
        <v/>
      </c>
      <c r="D14" s="11">
        <f>IFERROR(CUBEVALUE(BW_Verbindung,"[Measures].[Umsatz]",$J$3,$J$5,$J$8)/10^6,"–")</f>
        <v/>
      </c>
      <c r="E14" s="12">
        <f>IF(AND(ISNUMBER(C14),ISNUMBER(D14),D14&lt;&gt;0),(C14-D14)/ABS(D14),"–")</f>
        <v/>
      </c>
      <c r="F14" s="11">
        <f>IFERROR(CUBEVALUE(BW_Verbindung,"[Measures].[Umsatz]",$J$3,$J$4,$J$7)/10^6,"–")</f>
        <v/>
      </c>
      <c r="G14" s="12">
        <f>IF(AND(ISNUMBER(C14),ISNUMBER(F14),F14&lt;&gt;0),(C14-F14)/ABS(F14),"–")</f>
        <v/>
      </c>
    </row>
    <row r="15">
      <c r="B15" s="10" t="inlineStr">
        <is>
          <t>EBIT</t>
        </is>
      </c>
      <c r="C15" s="11">
        <f>IFERROR(CUBEVALUE(BW_Verbindung,"[Measures].[EBIT]",$J$3,$J$4,$J$8)/10^6,"–")</f>
        <v/>
      </c>
      <c r="D15" s="11">
        <f>IFERROR(CUBEVALUE(BW_Verbindung,"[Measures].[EBIT]",$J$3,$J$5,$J$8)/10^6,"–")</f>
        <v/>
      </c>
      <c r="E15" s="12">
        <f>IF(AND(ISNUMBER(C15),ISNUMBER(D15),D15&lt;&gt;0),(C15-D15)/ABS(D15),"–")</f>
        <v/>
      </c>
      <c r="F15" s="11" t="inlineStr"/>
      <c r="G15" s="12" t="inlineStr"/>
    </row>
    <row r="16">
      <c r="B16" s="10" t="inlineStr">
        <is>
          <t>Jahresergebnis</t>
        </is>
      </c>
      <c r="C16" s="11">
        <f>IFERROR(CUBEVALUE(BW_Verbindung,"[Measures].[Jahresergebnis]",$J$3,$J$4,$J$8)/10^6,"–")</f>
        <v/>
      </c>
      <c r="D16" s="11">
        <f>IFERROR(CUBEVALUE(BW_Verbindung,"[Measures].[Jahresergebnis]",$J$3,$J$5,$J$8)/10^6,"–")</f>
        <v/>
      </c>
      <c r="E16" s="12">
        <f>IF(AND(ISNUMBER(C16),ISNUMBER(D16),D16&lt;&gt;0),(C16-D16)/ABS(D16),"–")</f>
        <v/>
      </c>
      <c r="F16" s="11" t="inlineStr"/>
      <c r="G16" s="12" t="inlineStr"/>
    </row>
    <row r="17">
      <c r="B17" s="10" t="inlineStr">
        <is>
          <t>Operativer Cashflow</t>
        </is>
      </c>
      <c r="C17" s="11">
        <f>IFERROR(CUBEVALUE(BW_Verbindung,"[Measures].[Operativer Cashflow]",$J$3,$J$4,$J$8)/10^6,"–")</f>
        <v/>
      </c>
      <c r="D17" s="11">
        <f>IFERROR(CUBEVALUE(BW_Verbindung,"[Measures].[Operativer Cashflow]",$J$3,$J$5,$J$8)/10^6,"–")</f>
        <v/>
      </c>
      <c r="E17" s="12">
        <f>IF(AND(ISNUMBER(C17),ISNUMBER(D17),D17&lt;&gt;0),(C17-D17)/ABS(D17),"–")</f>
        <v/>
      </c>
      <c r="F17" s="11" t="inlineStr"/>
      <c r="G17" s="12" t="inlineStr"/>
    </row>
    <row r="18">
      <c r="B18" s="10" t="inlineStr">
        <is>
          <t>Bilanzsumme</t>
        </is>
      </c>
      <c r="C18" s="11">
        <f>IFERROR(CUBEVALUE(BW_Verbindung,"[Measures].[Bilanzsumme]",$J$3,$J$4,$J$8)/10^6,"–")</f>
        <v/>
      </c>
      <c r="D18" s="11">
        <f>IFERROR(CUBEVALUE(BW_Verbindung,"[Measures].[Bilanzsumme]",$J$3,$J$5,$J$8)/10^6,"–")</f>
        <v/>
      </c>
      <c r="E18" s="12">
        <f>IF(AND(ISNUMBER(C18),ISNUMBER(D18),D18&lt;&gt;0),(C18-D18)/ABS(D18),"–")</f>
        <v/>
      </c>
      <c r="F18" s="11" t="inlineStr"/>
      <c r="G18" s="12" t="inlineStr"/>
    </row>
    <row r="19">
      <c r="B19" s="10" t="inlineStr">
        <is>
          <t>Eigenkapital</t>
        </is>
      </c>
      <c r="C19" s="11">
        <f>IFERROR(CUBEVALUE(BW_Verbindung,"[Measures].[Eigenkapital]",$J$3,$J$4,$J$8)/10^6,"–")</f>
        <v/>
      </c>
      <c r="D19" s="11">
        <f>IFERROR(CUBEVALUE(BW_Verbindung,"[Measures].[Eigenkapital]",$J$3,$J$5,$J$8)/10^6,"–")</f>
        <v/>
      </c>
      <c r="E19" s="12">
        <f>IF(AND(ISNUMBER(C19),ISNUMBER(D19),D19&lt;&gt;0),(C19-D19)/ABS(D19),"–")</f>
        <v/>
      </c>
      <c r="F19" s="11" t="inlineStr"/>
      <c r="G19" s="12" t="inlineStr"/>
    </row>
    <row r="20">
      <c r="B20" s="10" t="inlineStr">
        <is>
          <t>Liquide Mittel</t>
        </is>
      </c>
      <c r="C20" s="11">
        <f>IFERROR(CUBEVALUE(BW_Verbindung,"[Measures].[Liquide Mittel]",$J$3,$J$4,$J$8)/10^6,"–")</f>
        <v/>
      </c>
      <c r="D20" s="11">
        <f>IFERROR(CUBEVALUE(BW_Verbindung,"[Measures].[Liquide Mittel]",$J$3,$J$5,$J$8)/10^6,"–")</f>
        <v/>
      </c>
      <c r="E20" s="12">
        <f>IF(AND(ISNUMBER(C20),ISNUMBER(D20),D20&lt;&gt;0),(C20-D20)/ABS(D20),"–")</f>
        <v/>
      </c>
      <c r="F20" s="11" t="inlineStr"/>
      <c r="G20" s="12" t="inlineStr"/>
    </row>
    <row r="22">
      <c r="B22" s="7" t="inlineStr">
        <is>
          <t>Kennzahlen zum Geschäftsjahresende</t>
        </is>
      </c>
    </row>
    <row r="23">
      <c r="B23" s="8" t="inlineStr">
        <is>
          <t>Kennzahl</t>
        </is>
      </c>
      <c r="C23" s="9" t="inlineStr">
        <is>
          <t>GJ</t>
        </is>
      </c>
      <c r="D23" s="9" t="inlineStr">
        <is>
          <t>Vorjahr</t>
        </is>
      </c>
      <c r="E23" s="9" t="inlineStr">
        <is>
          <t>Δ</t>
        </is>
      </c>
      <c r="F23" s="9" t="inlineStr">
        <is>
          <t>Sektorperzentil</t>
        </is>
      </c>
      <c r="G23" s="9" t="inlineStr">
        <is>
          <t>Rote Flagge</t>
        </is>
      </c>
    </row>
    <row r="24">
      <c r="B24" s="13" t="inlineStr">
        <is>
          <t>Eigenkapitalquote</t>
        </is>
      </c>
      <c r="C24" s="12">
        <f>IFERROR(CUBEVALUE(BW_Verbindung,"[Measures].[KPI Wert]",$J$3,$J$4,$J$6,$K24),"–")</f>
        <v/>
      </c>
      <c r="D24" s="12">
        <f>IFERROR(CUBEVALUE(BW_Verbindung,"[Measures].[KPI Wert]",$J$3,$J$5,$J$6,$K24),"–")</f>
        <v/>
      </c>
      <c r="E24" s="12">
        <f>IF(AND(ISNUMBER(C24),ISNUMBER(D24)),C24-D24,"–")</f>
        <v/>
      </c>
      <c r="F24" s="14">
        <f>IFERROR(CUBEVALUE(BW_Verbindung,"[Measures].[Sektorperzentil]",$J$3,$J$4,$J$6,$K24),"–")</f>
        <v/>
      </c>
      <c r="G24" s="15">
        <f>IFERROR(IF(CUBEVALUE(BW_Verbindung,"[Measures].[Rote Flaggen]",$J$3,$J$4,$J$6,$K24)&gt;0,"rot",""),"")</f>
        <v/>
      </c>
      <c r="K24" s="5">
        <f>CUBEMEMBER(BW_Verbindung,"[dim_kpi].[kpi_code].&amp;[EQUITY_RATIO]","Eigenkapitalquote")</f>
        <v/>
      </c>
    </row>
    <row r="25">
      <c r="B25" s="13" t="inlineStr">
        <is>
          <t>EBIT-Marge</t>
        </is>
      </c>
      <c r="C25" s="12">
        <f>IFERROR(CUBEVALUE(BW_Verbindung,"[Measures].[KPI Wert]",$J$3,$J$4,$J$6,$K25),"–")</f>
        <v/>
      </c>
      <c r="D25" s="12">
        <f>IFERROR(CUBEVALUE(BW_Verbindung,"[Measures].[KPI Wert]",$J$3,$J$5,$J$6,$K25),"–")</f>
        <v/>
      </c>
      <c r="E25" s="12">
        <f>IF(AND(ISNUMBER(C25),ISNUMBER(D25)),C25-D25,"–")</f>
        <v/>
      </c>
      <c r="F25" s="14">
        <f>IFERROR(CUBEVALUE(BW_Verbindung,"[Measures].[Sektorperzentil]",$J$3,$J$4,$J$6,$K25),"–")</f>
        <v/>
      </c>
      <c r="G25" s="15">
        <f>IFERROR(IF(CUBEVALUE(BW_Verbindung,"[Measures].[Rote Flaggen]",$J$3,$J$4,$J$6,$K25)&gt;0,"rot",""),"")</f>
        <v/>
      </c>
      <c r="K25" s="5">
        <f>CUBEMEMBER(BW_Verbindung,"[dim_kpi].[kpi_code].&amp;[EBIT_MARGIN]","EBIT-Marge")</f>
        <v/>
      </c>
    </row>
    <row r="26">
      <c r="B26" s="13" t="inlineStr">
        <is>
          <t>Bruttomarge</t>
        </is>
      </c>
      <c r="C26" s="12">
        <f>IFERROR(CUBEVALUE(BW_Verbindung,"[Measures].[KPI Wert]",$J$3,$J$4,$J$6,$K26),"–")</f>
        <v/>
      </c>
      <c r="D26" s="12">
        <f>IFERROR(CUBEVALUE(BW_Verbindung,"[Measures].[KPI Wert]",$J$3,$J$5,$J$6,$K26),"–")</f>
        <v/>
      </c>
      <c r="E26" s="12">
        <f>IF(AND(ISNUMBER(C26),ISNUMBER(D26)),C26-D26,"–")</f>
        <v/>
      </c>
      <c r="F26" s="14">
        <f>IFERROR(CUBEVALUE(BW_Verbindung,"[Measures].[Sektorperzentil]",$J$3,$J$4,$J$6,$K26),"–")</f>
        <v/>
      </c>
      <c r="G26" s="15">
        <f>IFERROR(IF(CUBEVALUE(BW_Verbindung,"[Measures].[Rote Flaggen]",$J$3,$J$4,$J$6,$K26)&gt;0,"rot",""),"")</f>
        <v/>
      </c>
      <c r="K26" s="5">
        <f>CUBEMEMBER(BW_Verbindung,"[dim_kpi].[kpi_code].&amp;[GROSS_MARGIN]","Bruttomarge")</f>
        <v/>
      </c>
    </row>
    <row r="27">
      <c r="B27" s="13" t="inlineStr">
        <is>
          <t>Days Sales Outstanding</t>
        </is>
      </c>
      <c r="C27" s="16">
        <f>IFERROR(CUBEVALUE(BW_Verbindung,"[Measures].[KPI Wert]",$J$3,$J$4,$J$6,$K27),"–")</f>
        <v/>
      </c>
      <c r="D27" s="16">
        <f>IFERROR(CUBEVALUE(BW_Verbindung,"[Measures].[KPI Wert]",$J$3,$J$5,$J$6,$K27),"–")</f>
        <v/>
      </c>
      <c r="E27" s="16">
        <f>IF(AND(ISNUMBER(C27),ISNUMBER(D27)),C27-D27,"–")</f>
        <v/>
      </c>
      <c r="F27" s="14">
        <f>IFERROR(CUBEVALUE(BW_Verbindung,"[Measures].[Sektorperzentil]",$J$3,$J$4,$J$6,$K27),"–")</f>
        <v/>
      </c>
      <c r="G27" s="15">
        <f>IFERROR(IF(CUBEVALUE(BW_Verbindung,"[Measures].[Rote Flaggen]",$J$3,$J$4,$J$6,$K27)&gt;0,"rot",""),"")</f>
        <v/>
      </c>
      <c r="K27" s="5">
        <f>CUBEMEMBER(BW_Verbindung,"[dim_kpi].[kpi_code].&amp;[DSO]","Days Sales Outstanding")</f>
        <v/>
      </c>
    </row>
    <row r="28">
      <c r="B28" s="13" t="inlineStr">
        <is>
          <t>Days Inventory Outstanding</t>
        </is>
      </c>
      <c r="C28" s="16">
        <f>IFERROR(CUBEVALUE(BW_Verbindung,"[Measures].[KPI Wert]",$J$3,$J$4,$J$6,$K28),"–")</f>
        <v/>
      </c>
      <c r="D28" s="16">
        <f>IFERROR(CUBEVALUE(BW_Verbindung,"[Measures].[KPI Wert]",$J$3,$J$5,$J$6,$K28),"–")</f>
        <v/>
      </c>
      <c r="E28" s="16">
        <f>IF(AND(ISNUMBER(C28),ISNUMBER(D28)),C28-D28,"–")</f>
        <v/>
      </c>
      <c r="F28" s="14">
        <f>IFERROR(CUBEVALUE(BW_Verbindung,"[Measures].[Sektorperzentil]",$J$3,$J$4,$J$6,$K28),"–")</f>
        <v/>
      </c>
      <c r="G28" s="15">
        <f>IFERROR(IF(CUBEVALUE(BW_Verbindung,"[Measures].[Rote Flaggen]",$J$3,$J$4,$J$6,$K28)&gt;0,"rot",""),"")</f>
        <v/>
      </c>
      <c r="K28" s="5">
        <f>CUBEMEMBER(BW_Verbindung,"[dim_kpi].[kpi_code].&amp;[DIO]","Days Inventory Outstanding")</f>
        <v/>
      </c>
    </row>
    <row r="29">
      <c r="B29" s="13" t="inlineStr">
        <is>
          <t>Days Payables Outstanding</t>
        </is>
      </c>
      <c r="C29" s="16">
        <f>IFERROR(CUBEVALUE(BW_Verbindung,"[Measures].[KPI Wert]",$J$3,$J$4,$J$6,$K29),"–")</f>
        <v/>
      </c>
      <c r="D29" s="16">
        <f>IFERROR(CUBEVALUE(BW_Verbindung,"[Measures].[KPI Wert]",$J$3,$J$5,$J$6,$K29),"–")</f>
        <v/>
      </c>
      <c r="E29" s="16">
        <f>IF(AND(ISNUMBER(C29),ISNUMBER(D29)),C29-D29,"–")</f>
        <v/>
      </c>
      <c r="F29" s="14">
        <f>IFERROR(CUBEVALUE(BW_Verbindung,"[Measures].[Sektorperzentil]",$J$3,$J$4,$J$6,$K29),"–")</f>
        <v/>
      </c>
      <c r="G29" s="15">
        <f>IFERROR(IF(CUBEVALUE(BW_Verbindung,"[Measures].[Rote Flaggen]",$J$3,$J$4,$J$6,$K29)&gt;0,"rot",""),"")</f>
        <v/>
      </c>
      <c r="K29" s="5">
        <f>CUBEMEMBER(BW_Verbindung,"[dim_kpi].[kpi_code].&amp;[DPO]","Days Payables Outstanding")</f>
        <v/>
      </c>
    </row>
    <row r="30">
      <c r="B30" s="13" t="inlineStr">
        <is>
          <t>Cash Conversion Cycle</t>
        </is>
      </c>
      <c r="C30" s="16">
        <f>IFERROR(CUBEVALUE(BW_Verbindung,"[Measures].[KPI Wert]",$J$3,$J$4,$J$6,$K30),"–")</f>
        <v/>
      </c>
      <c r="D30" s="16">
        <f>IFERROR(CUBEVALUE(BW_Verbindung,"[Measures].[KPI Wert]",$J$3,$J$5,$J$6,$K30),"–")</f>
        <v/>
      </c>
      <c r="E30" s="16">
        <f>IF(AND(ISNUMBER(C30),ISNUMBER(D30)),C30-D30,"–")</f>
        <v/>
      </c>
      <c r="F30" s="14">
        <f>IFERROR(CUBEVALUE(BW_Verbindung,"[Measures].[Sektorperzentil]",$J$3,$J$4,$J$6,$K30),"–")</f>
        <v/>
      </c>
      <c r="G30" s="15">
        <f>IFERROR(IF(CUBEVALUE(BW_Verbindung,"[Measures].[Rote Flaggen]",$J$3,$J$4,$J$6,$K30)&gt;0,"rot",""),"")</f>
        <v/>
      </c>
      <c r="K30" s="5">
        <f>CUBEMEMBER(BW_Verbindung,"[dim_kpi].[kpi_code].&amp;[CCC]","Cash Conversion Cycle")</f>
        <v/>
      </c>
    </row>
    <row r="31">
      <c r="B31" s="13" t="inlineStr">
        <is>
          <t>Liquidität 3. Grades</t>
        </is>
      </c>
      <c r="C31" s="17">
        <f>IFERROR(CUBEVALUE(BW_Verbindung,"[Measures].[KPI Wert]",$J$3,$J$4,$J$6,$K31),"–")</f>
        <v/>
      </c>
      <c r="D31" s="17">
        <f>IFERROR(CUBEVALUE(BW_Verbindung,"[Measures].[KPI Wert]",$J$3,$J$5,$J$6,$K31),"–")</f>
        <v/>
      </c>
      <c r="E31" s="17">
        <f>IF(AND(ISNUMBER(C31),ISNUMBER(D31)),C31-D31,"–")</f>
        <v/>
      </c>
      <c r="F31" s="14">
        <f>IFERROR(CUBEVALUE(BW_Verbindung,"[Measures].[Sektorperzentil]",$J$3,$J$4,$J$6,$K31),"–")</f>
        <v/>
      </c>
      <c r="G31" s="15">
        <f>IFERROR(IF(CUBEVALUE(BW_Verbindung,"[Measures].[Rote Flaggen]",$J$3,$J$4,$J$6,$K31)&gt;0,"rot",""),"")</f>
        <v/>
      </c>
      <c r="K31" s="5">
        <f>CUBEMEMBER(BW_Verbindung,"[dim_kpi].[kpi_code].&amp;[CURRENT_RATIO]","Liquidität 3. Grades")</f>
        <v/>
      </c>
    </row>
    <row r="32">
      <c r="B32" s="13" t="inlineStr">
        <is>
          <t>Nettoverschuldung / EBITDA</t>
        </is>
      </c>
      <c r="C32" s="17">
        <f>IFERROR(CUBEVALUE(BW_Verbindung,"[Measures].[KPI Wert]",$J$3,$J$4,$J$6,$K32),"–")</f>
        <v/>
      </c>
      <c r="D32" s="17">
        <f>IFERROR(CUBEVALUE(BW_Verbindung,"[Measures].[KPI Wert]",$J$3,$J$5,$J$6,$K32),"–")</f>
        <v/>
      </c>
      <c r="E32" s="17">
        <f>IF(AND(ISNUMBER(C32),ISNUMBER(D32)),C32-D32,"–")</f>
        <v/>
      </c>
      <c r="F32" s="14">
        <f>IFERROR(CUBEVALUE(BW_Verbindung,"[Measures].[Sektorperzentil]",$J$3,$J$4,$J$6,$K32),"–")</f>
        <v/>
      </c>
      <c r="G32" s="15">
        <f>IFERROR(IF(CUBEVALUE(BW_Verbindung,"[Measures].[Rote Flaggen]",$J$3,$J$4,$J$6,$K32)&gt;0,"rot",""),"")</f>
        <v/>
      </c>
      <c r="K32" s="5">
        <f>CUBEMEMBER(BW_Verbindung,"[dim_kpi].[kpi_code].&amp;[DEBT_EBITDA]","Nettoverschuldung / EBITDA")</f>
        <v/>
      </c>
    </row>
    <row r="33">
      <c r="B33" s="13" t="inlineStr">
        <is>
          <t>Altman Z'' (1995)</t>
        </is>
      </c>
      <c r="C33" s="17">
        <f>IFERROR(CUBEVALUE(BW_Verbindung,"[Measures].[KPI Wert]",$J$3,$J$4,$J$6,$K33),"–")</f>
        <v/>
      </c>
      <c r="D33" s="17">
        <f>IFERROR(CUBEVALUE(BW_Verbindung,"[Measures].[KPI Wert]",$J$3,$J$5,$J$6,$K33),"–")</f>
        <v/>
      </c>
      <c r="E33" s="17">
        <f>IF(AND(ISNUMBER(C33),ISNUMBER(D33)),C33-D33,"–")</f>
        <v/>
      </c>
      <c r="F33" s="14">
        <f>IFERROR(CUBEVALUE(BW_Verbindung,"[Measures].[Sektorperzentil]",$J$3,$J$4,$J$6,$K33),"–")</f>
        <v/>
      </c>
      <c r="G33" s="15">
        <f>IFERROR(IF(CUBEVALUE(BW_Verbindung,"[Measures].[Rote Flaggen]",$J$3,$J$4,$J$6,$K33)&gt;0,"rot",""),"")</f>
        <v/>
      </c>
      <c r="K33" s="5">
        <f>CUBEMEMBER(BW_Verbindung,"[dim_kpi].[kpi_code].&amp;[ZPP]","Altman Z'' (1995)")</f>
        <v/>
      </c>
    </row>
    <row r="35">
      <c r="B35" s="7" t="inlineStr">
        <is>
          <t>Frühwarnung</t>
        </is>
      </c>
    </row>
    <row r="36">
      <c r="B36" s="8" t="inlineStr">
        <is>
          <t>Kennzahl</t>
        </is>
      </c>
      <c r="C36" s="9" t="inlineStr">
        <is>
          <t>Wert</t>
        </is>
      </c>
      <c r="D36" s="9" t="inlineStr"/>
      <c r="E36" s="9" t="inlineStr"/>
      <c r="F36" s="9" t="inlineStr"/>
      <c r="G36" s="9" t="inlineStr"/>
    </row>
    <row r="37">
      <c r="B37" s="13" t="inlineStr">
        <is>
          <t>Insolvenzwahrscheinlichkeit 12 Monate</t>
        </is>
      </c>
      <c r="C37" s="12">
        <f>IFERROR(CUBEVALUE(BW_Verbindung,"[Measures].[Risiko 12M]",$J$3),"–")</f>
        <v/>
      </c>
      <c r="D37" s="18" t="n"/>
      <c r="E37" s="18" t="n"/>
      <c r="F37" s="18" t="n"/>
      <c r="G37" s="18" t="n"/>
    </row>
    <row r="38">
      <c r="B38" s="13" t="inlineStr">
        <is>
          <t>Veränderung zum Vorquartal</t>
        </is>
      </c>
      <c r="C38" s="19">
        <f>IFERROR(CUBEVALUE(BW_Verbindung,"[Measures].[Risiko Veränderung zum Vorquartal]",$J$3),"–")</f>
        <v/>
      </c>
      <c r="D38" s="18" t="n"/>
      <c r="E38" s="18" t="n"/>
      <c r="F38" s="18" t="n"/>
      <c r="G38" s="18" t="n"/>
    </row>
    <row r="39">
      <c r="B39" s="13" t="inlineStr">
        <is>
          <t>Altman Z'' (letzte Periode)</t>
        </is>
      </c>
      <c r="C39" s="17">
        <f>IFERROR(CUBEVALUE(BW_Verbindung,"[Measures].[Z'' Score]",$J$3),"–")</f>
        <v/>
      </c>
      <c r="D39" s="18" t="n"/>
      <c r="E39" s="18" t="n"/>
      <c r="F39" s="18" t="n"/>
      <c r="G39" s="18" t="n"/>
    </row>
    <row r="40">
      <c r="B40" s="13" t="inlineStr">
        <is>
          <t>Cash-Potenzial in Mio. EUR</t>
        </is>
      </c>
      <c r="C40" s="11">
        <f>IFERROR(CUBEVALUE(BW_Verbindung,"[Measures].[Cash-Potenzial]",$J$3,$J$4)/10^6,"–")</f>
        <v/>
      </c>
      <c r="D40" s="18" t="n"/>
      <c r="E40" s="18" t="n"/>
      <c r="F40" s="18" t="n"/>
      <c r="G40" s="18" t="n"/>
    </row>
    <row r="42">
      <c r="B42" s="5" t="inlineStr">
        <is>
          <t>Datenstand</t>
        </is>
      </c>
      <c r="C42" s="20">
        <f>IFERROR(CUBEVALUE(BW_Verbindung,"[Measures].[Datenstand]"),"–")</f>
        <v/>
      </c>
    </row>
    <row r="43">
      <c r="B43" s="5" t="inlineStr">
        <is>
          <t>Quelle: SEC EDGAR, ESEF (filings.xbrl.org), GLEIF, EZB · Modell: Bilanzwerk (Power BI)</t>
        </is>
      </c>
    </row>
    <row r="44">
      <c r="B44" s="5" t="inlineStr">
        <is>
          <t>Risikobänder: rot ab 10 %, gelb ab 3 % (ADR-007). Δ % gegen Vorjahr; Plan nur für Umsatz.</t>
        </is>
      </c>
    </row>
  </sheetData>
  <conditionalFormatting sqref="G24:G33">
    <cfRule type="cellIs" priority="1" operator="equal" dxfId="0">
      <formula>"rot"</formula>
    </cfRule>
  </conditionalFormatting>
  <conditionalFormatting sqref="C37">
    <cfRule type="cellIs" priority="2" operator="greaterThanOrEqual" dxfId="1">
      <formula>0.10</formula>
    </cfRule>
    <cfRule type="cellIs" priority="3" operator="between" dxfId="2">
      <formula>0.03</formula>
      <formula>0.0999999</formula>
    </cfRule>
    <cfRule type="cellIs" priority="4" operator="lessThan" dxfId="3">
      <formula>0.03</formula>
    </cfRule>
  </conditionalFormatting>
  <dataValidations count="1">
    <dataValidation sqref="C3" showDropDown="0" showInputMessage="0" showErrorMessage="1" allowBlank="0" errorTitle="Unternehmen" error="Bitte ein Unternehmen aus den Stammdaten wählen." type="list">
      <formula1>Stammdaten!$A$2:$A$100000</formula1>
    </dataValidation>
  </dataValidations>
  <printOptions horizontalCentered="1"/>
  <pageMargins left="0.75" right="0.75" top="1" bottom="1" header="0.5" footer="0.5"/>
  <pageSetup orientation="portrait" paperSize="9" fitToHeight="1" fitToWidth="1"/>
  <headerFooter>
    <oddHeader/>
    <oddFooter>&amp;LBilanzwerk · Management Cockpit&amp;R&amp;D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1" t="inlineStr">
        <is>
          <t>company_name</t>
        </is>
      </c>
      <c r="B1" s="21" t="inlineStr">
        <is>
          <t>company_id</t>
        </is>
      </c>
      <c r="C1" s="21" t="inlineStr">
        <is>
          <t>lei</t>
        </is>
      </c>
      <c r="D1" s="21" t="inlineStr">
        <is>
          <t>cik</t>
        </is>
      </c>
      <c r="E1" s="21" t="inlineStr">
        <is>
          <t>sector_de</t>
        </is>
      </c>
      <c r="F1" s="21" t="inlineStr">
        <is>
          <t>country_code</t>
        </is>
      </c>
      <c r="G1" s="21" t="inlineStr">
        <is>
          <t>hq_city</t>
        </is>
      </c>
      <c r="H1" s="21" t="inlineStr">
        <is>
          <t>company_status</t>
        </is>
      </c>
      <c r="I1" s="21" t="inlineStr">
        <is>
          <t>match_source</t>
        </is>
      </c>
      <c r="K1" s="5" t="inlineStr">
        <is>
          <t>Golden Record (aktuelle Version), geladen per Power Query aus marts.dim_company.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1" t="inlineStr">
        <is>
          <t>company_name</t>
        </is>
      </c>
      <c r="B1" s="21" t="inlineStr">
        <is>
          <t>sector_de</t>
        </is>
      </c>
      <c r="C1" s="21" t="inlineStr">
        <is>
          <t>as_of_date</t>
        </is>
      </c>
      <c r="D1" s="21" t="inlineStr">
        <is>
          <t>probability_12m</t>
        </is>
      </c>
      <c r="E1" s="21" t="inlineStr">
        <is>
          <t>risk_band</t>
        </is>
      </c>
      <c r="F1" s="21" t="inlineStr">
        <is>
          <t>top_3_drivers</t>
        </is>
      </c>
      <c r="H1" s="5" t="inlineStr">
        <is>
          <t>Risikoliste Champion-Modell, letzter Stichtag, geladen per Power Query.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Peer-Vergleich</t>
        </is>
      </c>
    </row>
    <row r="2">
      <c r="A2" s="5" t="inlineStr">
        <is>
          <t>PivotTable auf dem Semantikmodell mit Datenschnitten für Sektor und Geschäftsjahr; wird von finalize_workbook.ps1 ab Zelle A4 angelegt.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3" t="inlineStr">
        <is>
          <t>Verbindung</t>
        </is>
      </c>
      <c r="B1" s="3" t="inlineStr">
        <is>
          <t>Bilanzwerk</t>
        </is>
      </c>
    </row>
    <row r="2">
      <c r="A2" s="23" t="inlineStr">
        <is>
          <t>Zweck</t>
        </is>
      </c>
      <c r="B2" s="3" t="inlineStr">
        <is>
          <t>Monatsbericht für Controlling: ein Blatt Cockpit mit festem Layout (CUBE-Formeln).</t>
        </is>
      </c>
    </row>
    <row r="3">
      <c r="A3" s="23" t="inlineStr">
        <is>
          <t>Aktualisieren</t>
        </is>
      </c>
      <c r="B3" s="3" t="inlineStr">
        <is>
          <t>Makro RefreshAndExport (Modul modRefreshAndExport): aktualisiert alle Verbindungen und speichert das Cockpit als PDF mit Datum im Ordner Export.</t>
        </is>
      </c>
    </row>
    <row r="4">
      <c r="A4" s="23" t="inlineStr">
        <is>
          <t>Unternehmen wählen</t>
        </is>
      </c>
      <c r="B4" s="3" t="inlineStr">
        <is>
          <t>Cockpit!C3 (Liste aus Stammdaten). Die ID in C5 kommt per XVERWEIS aus dem Golden Record.</t>
        </is>
      </c>
    </row>
    <row r="5">
      <c r="A5" s="23" t="inlineStr">
        <is>
          <t>Kennzahlen</t>
        </is>
      </c>
      <c r="B5" s="3" t="inlineStr">
        <is>
          <t>Definitionen, Einheiten und Schwellen: dim_kpi im Modell, Quelle dbt/seeds/kpi_definitions.csv.</t>
        </is>
      </c>
    </row>
    <row r="6">
      <c r="A6" s="23" t="inlineStr">
        <is>
          <t>Versionen</t>
        </is>
      </c>
      <c r="B6" s="3" t="inlineStr">
        <is>
          <t>Werte nach Restatements (latest). Das Frühwarnmodell nutzt die Erstveröffentlichung.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2026-10-27T13:49:25Z</dcterms:created>
  <dcterms:modified xsi:type="dcterms:W3CDTF">2026-10-27T13:49:25Z</dcterms:modified>
</cp:coreProperties>
</file>